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Monthly P&amp;L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Service Pricing" sheetId="9" state="visible" r:id="rId9"/>
    <sheet xmlns:r="http://schemas.openxmlformats.org/officeDocument/2006/relationships" name="Forecast" sheetId="10" state="visible" r:id="rId10"/>
    <sheet xmlns:r="http://schemas.openxmlformats.org/officeDocument/2006/relationships" name="Sales Pipeline" sheetId="11" state="visible" r:id="rId11"/>
    <sheet xmlns:r="http://schemas.openxmlformats.org/officeDocument/2006/relationships" name="Weekly Review" sheetId="12" state="visible" r:id="rId12"/>
    <sheet xmlns:r="http://schemas.openxmlformats.org/officeDocument/2006/relationships" name="90-Day Plan" sheetId="13" state="visible" r:id="rId13"/>
    <sheet xmlns:r="http://schemas.openxmlformats.org/officeDocument/2006/relationships" name="Tax Calendar" sheetId="14" state="visible" r:id="rId14"/>
  </sheets>
  <definedNames>
    <definedName name="_xlnm._FilterDatabase" localSheetId="2" hidden="1">'Transactions'!$A$4:$N$1504</definedName>
    <definedName name="_xlnm._FilterDatabase" localSheetId="3" hidden="1">'Invoices'!$A$4:$M$404</definedName>
    <definedName name="_xlnm._FilterDatabase" localSheetId="10" hidden="1">'Sales Pipeline'!$A$4:$K$204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-mmm-yyyy"/>
    <numFmt numFmtId="166" formatCode="0.0%;(0.0%);&quot;-&quot;"/>
    <numFmt numFmtId="167" formatCode="#,##0;(#,##0);&quot;-&quot;"/>
    <numFmt numFmtId="168" formatCode="mmm yyyy"/>
    <numFmt numFmtId="169" formatCode="mmm yy"/>
    <numFmt numFmtId="170" formatCode="0.0"/>
    <numFmt numFmtId="171" formatCode="dd-mmm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FFFF00"/>
    </font>
    <font>
      <name val="Arial"/>
      <b val="1"/>
      <color rgb="00C00000"/>
    </font>
    <font>
      <name val="Arial"/>
      <b val="1"/>
      <color rgb="001F3864"/>
      <sz val="20"/>
    </font>
    <font>
      <name val="Arial"/>
      <b val="1"/>
      <color rgb="000000FF"/>
    </font>
    <font>
      <name val="Arial"/>
      <b val="1"/>
      <color rgb="00008000"/>
    </font>
    <font>
      <name val="Arial"/>
      <color theme="1"/>
      <sz val="1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/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4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12" fillId="2" borderId="0" pivotButton="0" quotePrefix="0" xfId="0"/>
    <xf numFmtId="0" fontId="7" fillId="4" borderId="0" pivotButton="0" quotePrefix="0" xfId="0"/>
    <xf numFmtId="0" fontId="13" fillId="0" borderId="0" pivotButton="0" quotePrefix="0" xfId="0"/>
    <xf numFmtId="0" fontId="3" fillId="5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165" fontId="5" fillId="2" borderId="1" pivotButton="0" quotePrefix="0" xfId="0"/>
    <xf numFmtId="166" fontId="5" fillId="2" borderId="1" pivotButton="0" quotePrefix="0" xfId="0"/>
    <xf numFmtId="167" fontId="5" fillId="2" borderId="1" pivotButton="0" quotePrefix="0" xfId="0"/>
    <xf numFmtId="1" fontId="5" fillId="2" borderId="1" pivotButton="0" quotePrefix="0" xfId="0"/>
    <xf numFmtId="0" fontId="6" fillId="3" borderId="1" applyAlignment="1" pivotButton="0" quotePrefix="0" xfId="0">
      <alignment vertical="center" wrapText="1"/>
    </xf>
    <xf numFmtId="167" fontId="7" fillId="0" borderId="1" pivotButton="0" quotePrefix="0" xfId="0"/>
    <xf numFmtId="0" fontId="4" fillId="0" borderId="1" pivotButton="0" quotePrefix="0" xfId="0"/>
    <xf numFmtId="165" fontId="5" fillId="5" borderId="1" pivotButton="0" quotePrefix="0" xfId="0"/>
    <xf numFmtId="0" fontId="5" fillId="5" borderId="1" pivotButton="0" quotePrefix="0" xfId="0"/>
    <xf numFmtId="167" fontId="5" fillId="5" borderId="1" pivotButton="0" quotePrefix="0" xfId="0"/>
    <xf numFmtId="0" fontId="4" fillId="4" borderId="1" pivotButton="0" quotePrefix="0" xfId="0"/>
    <xf numFmtId="168" fontId="4" fillId="4" borderId="1" pivotButton="0" quotePrefix="0" xfId="0"/>
    <xf numFmtId="167" fontId="4" fillId="4" borderId="1" pivotButton="0" quotePrefix="0" xfId="0"/>
    <xf numFmtId="165" fontId="5" fillId="0" borderId="1" pivotButton="0" quotePrefix="0" xfId="0"/>
    <xf numFmtId="0" fontId="5" fillId="0" borderId="1" pivotButton="0" quotePrefix="0" xfId="0"/>
    <xf numFmtId="167" fontId="5" fillId="0" borderId="1" pivotButton="0" quotePrefix="0" xfId="0"/>
    <xf numFmtId="1" fontId="5" fillId="5" borderId="1" pivotButton="0" quotePrefix="0" xfId="0"/>
    <xf numFmtId="165" fontId="4" fillId="5" borderId="1" pivotButton="0" quotePrefix="0" xfId="0"/>
    <xf numFmtId="167" fontId="4" fillId="5" borderId="1" pivotButton="0" quotePrefix="0" xfId="0"/>
    <xf numFmtId="1" fontId="4" fillId="4" borderId="1" pivotButton="0" quotePrefix="0" xfId="0"/>
    <xf numFmtId="1" fontId="5" fillId="0" borderId="1" pivotButton="0" quotePrefix="0" xfId="0"/>
    <xf numFmtId="165" fontId="4" fillId="4" borderId="1" pivotButton="0" quotePrefix="0" xfId="0"/>
    <xf numFmtId="166" fontId="4" fillId="4" borderId="1" pivotButton="0" quotePrefix="0" xfId="0"/>
    <xf numFmtId="169" fontId="6" fillId="3" borderId="1" applyAlignment="1" pivotButton="0" quotePrefix="0" xfId="0">
      <alignment vertical="center" wrapText="1"/>
    </xf>
    <xf numFmtId="0" fontId="3" fillId="6" borderId="0" pivotButton="0" quotePrefix="0" xfId="0"/>
    <xf numFmtId="0" fontId="14" fillId="6" borderId="0" pivotButton="0" quotePrefix="0" xfId="0"/>
    <xf numFmtId="0" fontId="8" fillId="0" borderId="1" pivotButton="0" quotePrefix="0" xfId="0"/>
    <xf numFmtId="167" fontId="4" fillId="0" borderId="1" pivotButton="0" quotePrefix="0" xfId="0"/>
    <xf numFmtId="167" fontId="7" fillId="4" borderId="1" pivotButton="0" quotePrefix="0" xfId="0"/>
    <xf numFmtId="167" fontId="7" fillId="6" borderId="1" pivotButton="0" quotePrefix="0" xfId="0"/>
    <xf numFmtId="166" fontId="4" fillId="0" borderId="1" pivotButton="0" quotePrefix="0" xfId="0"/>
    <xf numFmtId="167" fontId="7" fillId="7" borderId="2" pivotButton="0" quotePrefix="0" xfId="0"/>
    <xf numFmtId="167" fontId="7" fillId="7" borderId="1" pivotButton="0" quotePrefix="0" xfId="0"/>
    <xf numFmtId="168" fontId="5" fillId="2" borderId="1" pivotButton="0" quotePrefix="0" xfId="0"/>
    <xf numFmtId="166" fontId="7" fillId="0" borderId="1" pivotButton="0" quotePrefix="0" xfId="0"/>
    <xf numFmtId="1" fontId="7" fillId="0" borderId="1" pivotButton="0" quotePrefix="0" xfId="0"/>
    <xf numFmtId="170" fontId="7" fillId="0" borderId="1" pivotButton="0" quotePrefix="0" xfId="0"/>
    <xf numFmtId="0" fontId="7" fillId="0" borderId="1" pivotButton="0" quotePrefix="0" xfId="0"/>
    <xf numFmtId="170" fontId="5" fillId="5" borderId="1" pivotButton="0" quotePrefix="0" xfId="0"/>
    <xf numFmtId="170" fontId="5" fillId="2" borderId="1" pivotButton="0" quotePrefix="0" xfId="0"/>
    <xf numFmtId="169" fontId="9" fillId="3" borderId="1" applyAlignment="1" pivotButton="0" quotePrefix="0" xfId="0">
      <alignment vertical="center" wrapText="1"/>
    </xf>
    <xf numFmtId="0" fontId="10" fillId="4" borderId="1" pivotButton="0" quotePrefix="0" xfId="0"/>
    <xf numFmtId="171" fontId="4" fillId="0" borderId="1" pivotButton="0" quotePrefix="0" xfId="0"/>
    <xf numFmtId="0" fontId="5" fillId="0" borderId="1" applyAlignment="1" pivotButton="0" quotePrefix="0" xfId="0">
      <alignment vertical="top" wrapText="1"/>
    </xf>
    <xf numFmtId="9" fontId="7" fillId="0" borderId="1" pivotButton="0" quotePrefix="0" xfId="0"/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name val="Arial"/>
        <b val="1"/>
        <color rgb="00C00000"/>
      </font>
    </dxf>
    <dxf>
      <font>
        <name val="Arial"/>
        <b val="1"/>
        <color rgb="00C00000"/>
      </font>
      <fill>
        <patternFill patternType="solid">
          <fgColor rgb="00FBE4E4"/>
        </patternFill>
      </fill>
    </dxf>
    <dxf>
      <font>
        <name val="Arial"/>
        <color rgb="0038761D"/>
      </font>
    </dxf>
    <dxf>
      <font>
        <name val="Arial"/>
        <b val="1"/>
        <color rgb="0038761D"/>
      </font>
    </dxf>
    <dxf>
      <font>
        <name val="Arial"/>
        <color rgb="00C00000"/>
      </font>
    </dxf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Setup</author>
  </authors>
  <commentList>
    <comment ref="B14" authorId="0" shapeId="0">
      <text>
        <t>Enter the balance of each account on the financial year start date (from the bank statement for 1 April 2026).</t>
      </text>
    </comment>
  </commentList>
</comments>
</file>

<file path=xl/comments/comment2.xml><?xml version="1.0" encoding="utf-8"?>
<comments xmlns="http://schemas.openxmlformats.org/spreadsheetml/2006/main">
  <authors>
    <author>Forecast</author>
  </authors>
  <commentList>
    <comment ref="A9" authorId="0" shapeId="0">
      <text>
        <t>Assumption: 30% placeholder. Use the gross margin from your Monthly P&amp;L (100% − gross margin 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5" customWidth="1" min="3" max="3"/>
  </cols>
  <sheetData>
    <row r="1">
      <c r="A1" s="1" t="n"/>
      <c r="B1" s="2" t="inlineStr">
        <is>
          <t>Business Control Center</t>
        </is>
      </c>
      <c r="C1" s="1" t="n"/>
    </row>
    <row r="2">
      <c r="A2" s="1" t="n"/>
      <c r="B2" s="3" t="inlineStr">
        <is>
          <t>Bookkeeping and management workbook for a Sri Lankan service business. Financial year April 2026 – March 2027.</t>
        </is>
      </c>
      <c r="C2" s="1" t="n"/>
    </row>
    <row r="3">
      <c r="A3" s="1" t="n"/>
      <c r="B3" s="1" t="n"/>
      <c r="C3" s="1" t="n"/>
    </row>
    <row r="4">
      <c r="A4" s="1" t="n"/>
      <c r="B4" s="4" t="inlineStr">
        <is>
          <t>HOW THE WORKBOOK FITS TOGETHER</t>
        </is>
      </c>
      <c r="C4" s="1" t="n"/>
    </row>
    <row r="5">
      <c r="A5" s="1" t="n"/>
      <c r="B5" s="5" t="inlineStr">
        <is>
          <t>1. Setup</t>
        </is>
      </c>
      <c r="C5" s="6" t="inlineStr">
        <is>
          <t>Fill once: business details, opening balances, your categories.</t>
        </is>
      </c>
    </row>
    <row r="6">
      <c r="A6" s="1" t="n"/>
      <c r="B6" s="5" t="inlineStr">
        <is>
          <t>2. Transactions</t>
        </is>
      </c>
      <c r="C6" s="6" t="inlineStr">
        <is>
          <t>THE ONLY PLACE YOU TYPE MONEY. Every payment in or out, one row each. Everything else is calculated from here.</t>
        </is>
      </c>
    </row>
    <row r="7">
      <c r="A7" s="1" t="n"/>
      <c r="B7" s="5" t="inlineStr">
        <is>
          <t>3. Invoices</t>
        </is>
      </c>
      <c r="C7" s="6" t="inlineStr">
        <is>
          <t>Every invoice you send, and whether it is paid. Shows who owes you.</t>
        </is>
      </c>
    </row>
    <row r="8">
      <c r="A8" s="1" t="n"/>
      <c r="B8" s="5" t="inlineStr">
        <is>
          <t>4. Clients</t>
        </is>
      </c>
      <c r="C8" s="6" t="inlineStr">
        <is>
          <t>Your client list, with revenue and amount owed per client.</t>
        </is>
      </c>
    </row>
    <row r="9">
      <c r="A9" s="1" t="n"/>
      <c r="B9" s="5" t="inlineStr">
        <is>
          <t>5. Monthly P&amp;L</t>
        </is>
      </c>
      <c r="C9" s="6" t="inlineStr">
        <is>
          <t>Automatic. Profit and loss by month: revenue, costs, profit, margins.</t>
        </is>
      </c>
    </row>
    <row r="10">
      <c r="A10" s="1" t="n"/>
      <c r="B10" s="5" t="inlineStr">
        <is>
          <t>6. Cash Flow</t>
        </is>
      </c>
      <c r="C10" s="6" t="inlineStr">
        <is>
          <t>Automatic. Cash in and out by month. Closing cash must match your bank.</t>
        </is>
      </c>
    </row>
    <row r="11">
      <c r="A11" s="1" t="n"/>
      <c r="B11" s="5" t="inlineStr">
        <is>
          <t>7. Dashboard</t>
        </is>
      </c>
      <c r="C11" s="6" t="inlineStr">
        <is>
          <t>Automatic. One-page health check for any month, with warning signs.</t>
        </is>
      </c>
    </row>
    <row r="12">
      <c r="A12" s="1" t="n"/>
      <c r="B12" s="5" t="inlineStr">
        <is>
          <t>8. Service Pricing</t>
        </is>
      </c>
      <c r="C12" s="6" t="inlineStr">
        <is>
          <t>Work out what each service really earns and what to charge.</t>
        </is>
      </c>
    </row>
    <row r="13">
      <c r="A13" s="1" t="n"/>
      <c r="B13" s="5" t="inlineStr">
        <is>
          <t>9. Forecast</t>
        </is>
      </c>
      <c r="C13" s="6" t="inlineStr">
        <is>
          <t>Plan revenue and costs for Oct 2026 – Mar 2027 and compare with actuals.</t>
        </is>
      </c>
    </row>
    <row r="14">
      <c r="A14" s="1" t="n"/>
      <c r="B14" s="5" t="inlineStr">
        <is>
          <t>10. Sales Pipeline</t>
        </is>
      </c>
      <c r="C14" s="6" t="inlineStr">
        <is>
          <t>Every lead, until it is won or lost.</t>
        </is>
      </c>
    </row>
    <row r="15">
      <c r="A15" s="1" t="n"/>
      <c r="B15" s="5" t="inlineStr">
        <is>
          <t>11. Weekly Review</t>
        </is>
      </c>
      <c r="C15" s="6" t="inlineStr">
        <is>
          <t>Your 30-minute weekly check-in, one row per week of the 90 days.</t>
        </is>
      </c>
    </row>
    <row r="16">
      <c r="A16" s="1" t="n"/>
      <c r="B16" s="5" t="inlineStr">
        <is>
          <t>12. 90-Day Plan</t>
        </is>
      </c>
      <c r="C16" s="6" t="inlineStr">
        <is>
          <t>Your crash-course task list, with progress tracking.</t>
        </is>
      </c>
    </row>
    <row r="17">
      <c r="A17" s="1" t="n"/>
      <c r="B17" s="5" t="inlineStr">
        <is>
          <t>13. Tax Calendar</t>
        </is>
      </c>
      <c r="C17" s="6" t="inlineStr">
        <is>
          <t>Sri Lankan deadlines and thresholds to confirm with your accountant.</t>
        </is>
      </c>
    </row>
    <row r="18">
      <c r="A18" s="1" t="n"/>
      <c r="B18" s="4" t="inlineStr"/>
      <c r="C18" s="1" t="n"/>
    </row>
    <row r="19">
      <c r="A19" s="1" t="n"/>
      <c r="B19" s="4" t="inlineStr">
        <is>
          <t>COLOUR LEGEND</t>
        </is>
      </c>
      <c r="C19" s="1" t="n"/>
    </row>
    <row r="20">
      <c r="A20" s="1" t="n"/>
      <c r="B20" s="5" t="inlineStr">
        <is>
          <t>Yellow cell / blue text</t>
        </is>
      </c>
      <c r="C20" s="6" t="inlineStr">
        <is>
          <t>You type here.</t>
        </is>
      </c>
    </row>
    <row r="21">
      <c r="A21" s="1" t="n"/>
      <c r="B21" s="7" t="inlineStr">
        <is>
          <t>Grey cell / black text</t>
        </is>
      </c>
      <c r="C21" s="6" t="inlineStr">
        <is>
          <t>Calculated automatically. Do not type over it.</t>
        </is>
      </c>
    </row>
    <row r="22">
      <c r="A22" s="1" t="n"/>
      <c r="B22" s="8" t="inlineStr">
        <is>
          <t>Green text</t>
        </is>
      </c>
      <c r="C22" s="6" t="inlineStr">
        <is>
          <t>Pulled from another sheet.</t>
        </is>
      </c>
    </row>
    <row r="23">
      <c r="A23" s="1" t="n"/>
      <c r="B23" s="9" t="inlineStr">
        <is>
          <t>Orange row</t>
        </is>
      </c>
      <c r="C23" s="6" t="inlineStr">
        <is>
          <t>An example to show the format. Overwrite or delete it.</t>
        </is>
      </c>
    </row>
    <row r="24">
      <c r="A24" s="1" t="n"/>
      <c r="B24" s="10" t="inlineStr"/>
      <c r="C24" s="1" t="n"/>
    </row>
    <row r="25">
      <c r="A25" s="1" t="n"/>
      <c r="B25" s="4" t="inlineStr">
        <is>
          <t>THE 5 GOLDEN RULES</t>
        </is>
      </c>
      <c r="C25" s="1" t="n"/>
    </row>
    <row r="26">
      <c r="A26" s="1" t="n"/>
      <c r="B26" s="5" t="inlineStr">
        <is>
          <t>Rule 1</t>
        </is>
      </c>
      <c r="C26" s="6" t="inlineStr">
        <is>
          <t>Business money and personal money never mix. Pay yourself a fixed salary (Owner drawings) instead of taking cash when needed.</t>
        </is>
      </c>
    </row>
    <row r="27">
      <c r="A27" s="1" t="n"/>
      <c r="B27" s="5" t="inlineStr">
        <is>
          <t>Rule 2</t>
        </is>
      </c>
      <c r="C27" s="6" t="inlineStr">
        <is>
          <t>Every rupee gets a row. If it left or entered an account, it goes on Transactions with a category.</t>
        </is>
      </c>
    </row>
    <row r="28">
      <c r="A28" s="1" t="n"/>
      <c r="B28" s="5" t="inlineStr">
        <is>
          <t>Rule 3</t>
        </is>
      </c>
      <c r="C28" s="6" t="inlineStr">
        <is>
          <t>No receipt, no record. Photograph every receipt the same day; note its number in the Reference column.</t>
        </is>
      </c>
    </row>
    <row r="29">
      <c r="A29" s="1" t="n"/>
      <c r="B29" s="5" t="inlineStr">
        <is>
          <t>Rule 4</t>
        </is>
      </c>
      <c r="C29" s="6" t="inlineStr">
        <is>
          <t>Match the bank every month. Cash Flow closing cash must equal the real balance (Difference row = 0).</t>
        </is>
      </c>
    </row>
    <row r="30">
      <c r="A30" s="1" t="n"/>
      <c r="B30" s="5" t="inlineStr">
        <is>
          <t>Rule 5</t>
        </is>
      </c>
      <c r="C30" s="6" t="inlineStr">
        <is>
          <t>Look at the numbers weekly. 30 minutes every week on the Weekly Review beats 3 days of panic at tax time.</t>
        </is>
      </c>
    </row>
    <row r="31">
      <c r="A31" s="1" t="n"/>
      <c r="B31" s="4" t="inlineStr"/>
      <c r="C31" s="1" t="n"/>
    </row>
    <row r="32">
      <c r="A32" s="1" t="n"/>
      <c r="B32" s="5" t="inlineStr">
        <is>
          <t>DAILY 10-MINUTE ROUTINE</t>
        </is>
      </c>
      <c r="C32" s="6" t="inlineStr">
        <is>
          <t>Open the bank app → enter yesterday's payments on Transactions → save receipts → mark any paid invoices.</t>
        </is>
      </c>
    </row>
    <row r="33">
      <c r="A33" s="1" t="n"/>
      <c r="B33" s="5" t="inlineStr">
        <is>
          <t>MONTHLY CLOSE (1–2 h)</t>
        </is>
      </c>
      <c r="C33" s="6" t="inlineStr">
        <is>
          <t>Enter everything → type real balances on Cash Flow row 23 → fix differences → chase overdue invoices → read P&amp;L and Dashboard → move tax reserve.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D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60" customWidth="1" min="4" max="4"/>
  </cols>
  <sheetData>
    <row r="1">
      <c r="A1" s="11" t="inlineStr">
        <is>
          <t>Setup: your business profile, accounts and categories</t>
        </is>
      </c>
      <c r="B1" s="1" t="n"/>
      <c r="C1" s="1" t="n"/>
      <c r="D1" s="1" t="n"/>
    </row>
    <row r="2">
      <c r="A2" s="3" t="inlineStr">
        <is>
          <t>Fill the yellow cells once. Everything else in the workbook reads from here.</t>
        </is>
      </c>
      <c r="B2" s="1" t="n"/>
      <c r="C2" s="1" t="n"/>
      <c r="D2" s="1" t="n"/>
    </row>
    <row r="3">
      <c r="A3" s="4" t="inlineStr">
        <is>
          <t>BUSINESS PROFILE</t>
        </is>
      </c>
      <c r="B3" s="1" t="n"/>
      <c r="C3" s="1" t="n"/>
      <c r="D3" s="1" t="n"/>
    </row>
    <row r="4">
      <c r="A4" s="12" t="inlineStr">
        <is>
          <t>Business name</t>
        </is>
      </c>
      <c r="B4" s="13" t="inlineStr">
        <is>
          <t>Your Business Name</t>
        </is>
      </c>
      <c r="C4" s="1" t="n"/>
      <c r="D4" s="3" t="inlineStr">
        <is>
          <t>Trading name used on invoices.</t>
        </is>
      </c>
    </row>
    <row r="5">
      <c r="A5" s="12" t="inlineStr">
        <is>
          <t>Owner(s)</t>
        </is>
      </c>
      <c r="B5" s="13" t="inlineStr">
        <is>
          <t>Owner name</t>
        </is>
      </c>
      <c r="C5" s="1" t="n"/>
      <c r="D5" s="3" t="inlineStr">
        <is>
          <t>Who owns the business.</t>
        </is>
      </c>
    </row>
    <row r="6">
      <c r="A6" s="12" t="inlineStr">
        <is>
          <t>Financial year starts</t>
        </is>
      </c>
      <c r="B6" s="14" t="n">
        <v>46113</v>
      </c>
      <c r="C6" s="1" t="n"/>
      <c r="D6" s="3" t="inlineStr">
        <is>
          <t>Sri Lanka tax year runs 1 April – 31 March. The P&amp;L and Cash Flow start here.</t>
        </is>
      </c>
    </row>
    <row r="7">
      <c r="A7" s="12" t="inlineStr">
        <is>
          <t>Currency</t>
        </is>
      </c>
      <c r="B7" s="13" t="inlineStr">
        <is>
          <t>LKR (Rs)</t>
        </is>
      </c>
      <c r="C7" s="1" t="n"/>
      <c r="D7" s="3" t="inlineStr">
        <is>
          <t>All amounts in Sri Lankan rupees.</t>
        </is>
      </c>
    </row>
    <row r="8">
      <c r="A8" s="12" t="inlineStr">
        <is>
          <t>Tax reserve (% of net profit)</t>
        </is>
      </c>
      <c r="B8" s="15" t="n">
        <v>0.1</v>
      </c>
      <c r="C8" s="1" t="n"/>
      <c r="D8" s="3" t="inlineStr">
        <is>
          <t>Assumption: move this % of each month's profit to a separate tax savings account. Ask your accountant for the right % for you.</t>
        </is>
      </c>
    </row>
    <row r="9">
      <c r="A9" s="12" t="inlineStr">
        <is>
          <t>Target owner salary per month (Rs)</t>
        </is>
      </c>
      <c r="B9" s="16" t="n">
        <v>0</v>
      </c>
      <c r="C9" s="1" t="n"/>
      <c r="D9" s="3" t="inlineStr">
        <is>
          <t>Fixed amount you pay yourself each month (set this in Week 4).</t>
        </is>
      </c>
    </row>
    <row r="10">
      <c r="A10" s="12" t="inlineStr">
        <is>
          <t>Default invoice payment terms (days)</t>
        </is>
      </c>
      <c r="B10" s="17" t="n">
        <v>14</v>
      </c>
      <c r="C10" s="1" t="n"/>
      <c r="D10" s="3" t="inlineStr">
        <is>
          <t>Used on the Invoices sheet when terms are left blank.</t>
        </is>
      </c>
    </row>
    <row r="11">
      <c r="A11" s="1" t="n"/>
      <c r="B11" s="1" t="n"/>
      <c r="C11" s="1" t="n"/>
      <c r="D11" s="1" t="n"/>
    </row>
    <row r="12">
      <c r="A12" s="4" t="inlineStr">
        <is>
          <t>MONEY ACCOUNTS (where money is kept)</t>
        </is>
      </c>
      <c r="B12" s="1" t="n"/>
      <c r="C12" s="1" t="n"/>
      <c r="D12" s="1" t="n"/>
    </row>
    <row r="13" ht="30" customHeight="1">
      <c r="A13" s="18" t="inlineStr">
        <is>
          <t>Account name</t>
        </is>
      </c>
      <c r="B13" s="18" t="inlineStr">
        <is>
          <t>Opening balance on FY start (Rs)</t>
        </is>
      </c>
      <c r="C13" s="18" t="inlineStr">
        <is>
          <t>Account number (last 4)</t>
        </is>
      </c>
      <c r="D13" s="18" t="inlineStr">
        <is>
          <t>Notes</t>
        </is>
      </c>
    </row>
    <row r="14">
      <c r="A14" s="13" t="inlineStr">
        <is>
          <t>Business bank account</t>
        </is>
      </c>
      <c r="B14" s="16" t="n">
        <v>0</v>
      </c>
      <c r="C14" s="13" t="n"/>
      <c r="D14" s="3" t="inlineStr">
        <is>
          <t>Main account for the business. All client payments should come here.</t>
        </is>
      </c>
    </row>
    <row r="15">
      <c r="A15" s="13" t="inlineStr">
        <is>
          <t>Cash in hand</t>
        </is>
      </c>
      <c r="B15" s="16" t="n">
        <v>0</v>
      </c>
      <c r="C15" s="13" t="n"/>
      <c r="D15" s="3" t="inlineStr">
        <is>
          <t>Physical cash kept for the business.</t>
        </is>
      </c>
    </row>
    <row r="16">
      <c r="A16" s="13" t="inlineStr">
        <is>
          <t>Owner personal account (temporary)</t>
        </is>
      </c>
      <c r="B16" s="16" t="n">
        <v>0</v>
      </c>
      <c r="C16" s="13" t="n"/>
      <c r="D16" s="3" t="inlineStr">
        <is>
          <t>Only while business money still passes through a personal account. Aim to stop using it.</t>
        </is>
      </c>
    </row>
    <row r="17">
      <c r="A17" s="13" t="inlineStr">
        <is>
          <t>Tax savings account</t>
        </is>
      </c>
      <c r="B17" s="16" t="n">
        <v>0</v>
      </c>
      <c r="C17" s="13" t="n"/>
      <c r="D17" s="3" t="inlineStr">
        <is>
          <t>Separate savings account where you keep the tax reserve.</t>
        </is>
      </c>
    </row>
    <row r="18">
      <c r="A18" s="13" t="n"/>
      <c r="B18" s="16" t="n"/>
      <c r="C18" s="13" t="n"/>
      <c r="D18" s="3" t="n"/>
    </row>
    <row r="19">
      <c r="A19" s="13" t="n"/>
      <c r="B19" s="16" t="n"/>
      <c r="C19" s="13" t="n"/>
      <c r="D19" s="3" t="n"/>
    </row>
    <row r="20">
      <c r="A20" s="5" t="inlineStr">
        <is>
          <t>Total opening balance</t>
        </is>
      </c>
      <c r="B20" s="19">
        <f>SUM(B14:B19)</f>
        <v/>
      </c>
      <c r="C20" s="1" t="n"/>
      <c r="D20" s="1" t="n"/>
    </row>
    <row r="21">
      <c r="A21" s="1" t="n"/>
      <c r="B21" s="1" t="n"/>
      <c r="C21" s="1" t="n"/>
      <c r="D21" s="1" t="n"/>
    </row>
    <row r="22">
      <c r="A22" s="4" t="inlineStr">
        <is>
          <t>CATEGORIES (the chart of accounts)</t>
        </is>
      </c>
      <c r="B22" s="1" t="n"/>
      <c r="C22" s="1" t="n"/>
      <c r="D22" s="1" t="n"/>
    </row>
    <row r="23" ht="30" customHeight="1">
      <c r="A23" s="18" t="inlineStr">
        <is>
          <t>Category</t>
        </is>
      </c>
      <c r="B23" s="18" t="inlineStr">
        <is>
          <t>Type (do not change)</t>
        </is>
      </c>
      <c r="C23" s="18" t="inlineStr">
        <is>
          <t>Report section</t>
        </is>
      </c>
      <c r="D23" s="18" t="inlineStr">
        <is>
          <t>What goes here</t>
        </is>
      </c>
    </row>
    <row r="24">
      <c r="A24" s="13" t="inlineStr">
        <is>
          <t>Service fees – main service</t>
        </is>
      </c>
      <c r="B24" s="20" t="inlineStr">
        <is>
          <t>Income</t>
        </is>
      </c>
      <c r="C24" s="20" t="inlineStr">
        <is>
          <t>Revenue</t>
        </is>
      </c>
      <c r="D24" s="3" t="inlineStr">
        <is>
          <t>Fees for your main service. Rename to your service, e.g. "Web design projects".</t>
        </is>
      </c>
    </row>
    <row r="25">
      <c r="A25" s="13" t="inlineStr">
        <is>
          <t>Service fees – second service</t>
        </is>
      </c>
      <c r="B25" s="20" t="inlineStr">
        <is>
          <t>Income</t>
        </is>
      </c>
      <c r="C25" s="20" t="inlineStr">
        <is>
          <t>Revenue</t>
        </is>
      </c>
      <c r="D25" s="3" t="inlineStr">
        <is>
          <t>Rename to your second service, or leave unused.</t>
        </is>
      </c>
    </row>
    <row r="26">
      <c r="A26" s="13" t="inlineStr">
        <is>
          <t>Retainer / monthly fees</t>
        </is>
      </c>
      <c r="B26" s="20" t="inlineStr">
        <is>
          <t>Income</t>
        </is>
      </c>
      <c r="C26" s="20" t="inlineStr">
        <is>
          <t>Revenue</t>
        </is>
      </c>
      <c r="D26" s="3" t="inlineStr">
        <is>
          <t>Fixed monthly fees from ongoing clients.</t>
        </is>
      </c>
    </row>
    <row r="27">
      <c r="A27" s="13" t="inlineStr">
        <is>
          <t>Other income</t>
        </is>
      </c>
      <c r="B27" s="20" t="inlineStr">
        <is>
          <t>Income</t>
        </is>
      </c>
      <c r="C27" s="20" t="inlineStr">
        <is>
          <t>Revenue</t>
        </is>
      </c>
      <c r="D27" s="3" t="inlineStr">
        <is>
          <t>Small one-off income (interest, sale of scrap, etc.).</t>
        </is>
      </c>
    </row>
    <row r="28">
      <c r="A28" s="13" t="n"/>
      <c r="B28" s="20" t="inlineStr">
        <is>
          <t>Income</t>
        </is>
      </c>
      <c r="C28" s="20" t="inlineStr">
        <is>
          <t>Revenue</t>
        </is>
      </c>
      <c r="D28" s="3" t="inlineStr">
        <is>
          <t>Spare: type a new income category here.</t>
        </is>
      </c>
    </row>
    <row r="29">
      <c r="A29" s="13" t="inlineStr">
        <is>
          <t>Freelancers &amp; subcontractors</t>
        </is>
      </c>
      <c r="B29" s="20" t="inlineStr">
        <is>
          <t>Direct Cost</t>
        </is>
      </c>
      <c r="C29" s="20" t="inlineStr">
        <is>
          <t>Cost of delivering services</t>
        </is>
      </c>
      <c r="D29" s="3" t="inlineStr">
        <is>
          <t>People paid to deliver client work.</t>
        </is>
      </c>
    </row>
    <row r="30">
      <c r="A30" s="13" t="inlineStr">
        <is>
          <t>Project staff wages</t>
        </is>
      </c>
      <c r="B30" s="20" t="inlineStr">
        <is>
          <t>Direct Cost</t>
        </is>
      </c>
      <c r="C30" s="20" t="inlineStr">
        <is>
          <t>Cost of delivering services</t>
        </is>
      </c>
      <c r="D30" s="3" t="inlineStr">
        <is>
          <t>Wages of staff who do client work.</t>
        </is>
      </c>
    </row>
    <row r="31">
      <c r="A31" s="13" t="inlineStr">
        <is>
          <t>Project tools &amp; materials</t>
        </is>
      </c>
      <c r="B31" s="20" t="inlineStr">
        <is>
          <t>Direct Cost</t>
        </is>
      </c>
      <c r="C31" s="20" t="inlineStr">
        <is>
          <t>Cost of delivering services</t>
        </is>
      </c>
      <c r="D31" s="3" t="inlineStr">
        <is>
          <t>Software, materials or printing bought for a specific client job.</t>
        </is>
      </c>
    </row>
    <row r="32">
      <c r="A32" s="13" t="inlineStr">
        <is>
          <t>Project travel</t>
        </is>
      </c>
      <c r="B32" s="20" t="inlineStr">
        <is>
          <t>Direct Cost</t>
        </is>
      </c>
      <c r="C32" s="20" t="inlineStr">
        <is>
          <t>Cost of delivering services</t>
        </is>
      </c>
      <c r="D32" s="3" t="inlineStr">
        <is>
          <t>Travel to deliver client work.</t>
        </is>
      </c>
    </row>
    <row r="33">
      <c r="A33" s="13" t="n"/>
      <c r="B33" s="20" t="inlineStr">
        <is>
          <t>Direct Cost</t>
        </is>
      </c>
      <c r="C33" s="20" t="inlineStr">
        <is>
          <t>Cost of delivering services</t>
        </is>
      </c>
      <c r="D33" s="3" t="inlineStr">
        <is>
          <t>Spare: type a new direct cost here.</t>
        </is>
      </c>
    </row>
    <row r="34">
      <c r="A34" s="13" t="inlineStr">
        <is>
          <t>Salaries – admin &amp; sales</t>
        </is>
      </c>
      <c r="B34" s="20" t="inlineStr">
        <is>
          <t>Operating Expense</t>
        </is>
      </c>
      <c r="C34" s="20" t="inlineStr">
        <is>
          <t>Overheads (running costs)</t>
        </is>
      </c>
      <c r="D34" s="3" t="inlineStr">
        <is>
          <t>Staff not directly doing client work.</t>
        </is>
      </c>
    </row>
    <row r="35">
      <c r="A35" s="13" t="inlineStr">
        <is>
          <t>EPF / ETF (employer share)</t>
        </is>
      </c>
      <c r="B35" s="20" t="inlineStr">
        <is>
          <t>Operating Expense</t>
        </is>
      </c>
      <c r="C35" s="20" t="inlineStr">
        <is>
          <t>Overheads (running costs)</t>
        </is>
      </c>
      <c r="D35" s="3" t="inlineStr">
        <is>
          <t>Employer EPF 12% and ETF 3% on staff salaries.</t>
        </is>
      </c>
    </row>
    <row r="36">
      <c r="A36" s="13" t="inlineStr">
        <is>
          <t>Rent</t>
        </is>
      </c>
      <c r="B36" s="20" t="inlineStr">
        <is>
          <t>Operating Expense</t>
        </is>
      </c>
      <c r="C36" s="20" t="inlineStr">
        <is>
          <t>Overheads (running costs)</t>
        </is>
      </c>
      <c r="D36" s="3" t="inlineStr">
        <is>
          <t>Office or workspace rent.</t>
        </is>
      </c>
    </row>
    <row r="37">
      <c r="A37" s="13" t="inlineStr">
        <is>
          <t>Electricity &amp; water</t>
        </is>
      </c>
      <c r="B37" s="20" t="inlineStr">
        <is>
          <t>Operating Expense</t>
        </is>
      </c>
      <c r="C37" s="20" t="inlineStr">
        <is>
          <t>Overheads (running costs)</t>
        </is>
      </c>
      <c r="D37" s="3" t="inlineStr">
        <is>
          <t>Utility bills.</t>
        </is>
      </c>
    </row>
    <row r="38">
      <c r="A38" s="13" t="inlineStr">
        <is>
          <t>Internet &amp; phone</t>
        </is>
      </c>
      <c r="B38" s="20" t="inlineStr">
        <is>
          <t>Operating Expense</t>
        </is>
      </c>
      <c r="C38" s="20" t="inlineStr">
        <is>
          <t>Overheads (running costs)</t>
        </is>
      </c>
      <c r="D38" s="3" t="inlineStr">
        <is>
          <t>Broadband, mobile bills, data.</t>
        </is>
      </c>
    </row>
    <row r="39">
      <c r="A39" s="13" t="inlineStr">
        <is>
          <t>Software &amp; subscriptions</t>
        </is>
      </c>
      <c r="B39" s="20" t="inlineStr">
        <is>
          <t>Operating Expense</t>
        </is>
      </c>
      <c r="C39" s="20" t="inlineStr">
        <is>
          <t>Overheads (running costs)</t>
        </is>
      </c>
      <c r="D39" s="3" t="inlineStr">
        <is>
          <t>Tools used to run the business (not for one client).</t>
        </is>
      </c>
    </row>
    <row r="40">
      <c r="A40" s="13" t="inlineStr">
        <is>
          <t>Marketing &amp; advertising</t>
        </is>
      </c>
      <c r="B40" s="20" t="inlineStr">
        <is>
          <t>Operating Expense</t>
        </is>
      </c>
      <c r="C40" s="20" t="inlineStr">
        <is>
          <t>Overheads (running costs)</t>
        </is>
      </c>
      <c r="D40" s="3" t="inlineStr">
        <is>
          <t>Ads, printing, sponsored posts, website.</t>
        </is>
      </c>
    </row>
    <row r="41">
      <c r="A41" s="13" t="inlineStr">
        <is>
          <t>Professional fees</t>
        </is>
      </c>
      <c r="B41" s="20" t="inlineStr">
        <is>
          <t>Operating Expense</t>
        </is>
      </c>
      <c r="C41" s="20" t="inlineStr">
        <is>
          <t>Overheads (running costs)</t>
        </is>
      </c>
      <c r="D41" s="3" t="inlineStr">
        <is>
          <t>Accountant, lawyer, consultants.</t>
        </is>
      </c>
    </row>
    <row r="42">
      <c r="A42" s="13" t="inlineStr">
        <is>
          <t>Bank charges</t>
        </is>
      </c>
      <c r="B42" s="20" t="inlineStr">
        <is>
          <t>Operating Expense</t>
        </is>
      </c>
      <c r="C42" s="20" t="inlineStr">
        <is>
          <t>Overheads (running costs)</t>
        </is>
      </c>
      <c r="D42" s="3" t="inlineStr">
        <is>
          <t>Fees, card charges, transfer fees.</t>
        </is>
      </c>
    </row>
    <row r="43">
      <c r="A43" s="13" t="inlineStr">
        <is>
          <t>Transport &amp; fuel</t>
        </is>
      </c>
      <c r="B43" s="20" t="inlineStr">
        <is>
          <t>Operating Expense</t>
        </is>
      </c>
      <c r="C43" s="20" t="inlineStr">
        <is>
          <t>Overheads (running costs)</t>
        </is>
      </c>
      <c r="D43" s="3" t="inlineStr">
        <is>
          <t>Business travel not linked to one client.</t>
        </is>
      </c>
    </row>
    <row r="44">
      <c r="A44" s="13" t="inlineStr">
        <is>
          <t>Office supplies</t>
        </is>
      </c>
      <c r="B44" s="20" t="inlineStr">
        <is>
          <t>Operating Expense</t>
        </is>
      </c>
      <c r="C44" s="20" t="inlineStr">
        <is>
          <t>Overheads (running costs)</t>
        </is>
      </c>
      <c r="D44" s="3" t="inlineStr">
        <is>
          <t>Stationery, small office items.</t>
        </is>
      </c>
    </row>
    <row r="45">
      <c r="A45" s="13" t="inlineStr">
        <is>
          <t>Training &amp; books</t>
        </is>
      </c>
      <c r="B45" s="20" t="inlineStr">
        <is>
          <t>Operating Expense</t>
        </is>
      </c>
      <c r="C45" s="20" t="inlineStr">
        <is>
          <t>Overheads (running costs)</t>
        </is>
      </c>
      <c r="D45" s="3" t="inlineStr">
        <is>
          <t>Courses and books to build your skills.</t>
        </is>
      </c>
    </row>
    <row r="46">
      <c r="A46" s="13" t="inlineStr">
        <is>
          <t>Repairs &amp; maintenance</t>
        </is>
      </c>
      <c r="B46" s="20" t="inlineStr">
        <is>
          <t>Operating Expense</t>
        </is>
      </c>
      <c r="C46" s="20" t="inlineStr">
        <is>
          <t>Overheads (running costs)</t>
        </is>
      </c>
      <c r="D46" s="3" t="inlineStr">
        <is>
          <t>Fixing equipment, office.</t>
        </is>
      </c>
    </row>
    <row r="47">
      <c r="A47" s="13" t="inlineStr">
        <is>
          <t>Insurance</t>
        </is>
      </c>
      <c r="B47" s="20" t="inlineStr">
        <is>
          <t>Operating Expense</t>
        </is>
      </c>
      <c r="C47" s="20" t="inlineStr">
        <is>
          <t>Overheads (running costs)</t>
        </is>
      </c>
      <c r="D47" s="3" t="inlineStr">
        <is>
          <t>Business insurance.</t>
        </is>
      </c>
    </row>
    <row r="48">
      <c r="A48" s="13" t="inlineStr">
        <is>
          <t>Licences &amp; registration fees</t>
        </is>
      </c>
      <c r="B48" s="20" t="inlineStr">
        <is>
          <t>Operating Expense</t>
        </is>
      </c>
      <c r="C48" s="20" t="inlineStr">
        <is>
          <t>Overheads (running costs)</t>
        </is>
      </c>
      <c r="D48" s="3" t="inlineStr">
        <is>
          <t>Trade licence, business registration, renewals.</t>
        </is>
      </c>
    </row>
    <row r="49">
      <c r="A49" s="13" t="inlineStr">
        <is>
          <t>Other expenses</t>
        </is>
      </c>
      <c r="B49" s="20" t="inlineStr">
        <is>
          <t>Operating Expense</t>
        </is>
      </c>
      <c r="C49" s="20" t="inlineStr">
        <is>
          <t>Overheads (running costs)</t>
        </is>
      </c>
      <c r="D49" s="3" t="inlineStr">
        <is>
          <t>Anything that doesn't fit above. Keep this small.</t>
        </is>
      </c>
    </row>
    <row r="50">
      <c r="A50" s="13" t="n"/>
      <c r="B50" s="20" t="inlineStr">
        <is>
          <t>Operating Expense</t>
        </is>
      </c>
      <c r="C50" s="20" t="inlineStr">
        <is>
          <t>Overheads (running costs)</t>
        </is>
      </c>
      <c r="D50" s="3" t="inlineStr">
        <is>
          <t>Spare</t>
        </is>
      </c>
    </row>
    <row r="51">
      <c r="A51" s="13" t="n"/>
      <c r="B51" s="20" t="inlineStr">
        <is>
          <t>Operating Expense</t>
        </is>
      </c>
      <c r="C51" s="20" t="inlineStr">
        <is>
          <t>Overheads (running costs)</t>
        </is>
      </c>
      <c r="D51" s="3" t="inlineStr">
        <is>
          <t>Spare</t>
        </is>
      </c>
    </row>
    <row r="52">
      <c r="A52" s="13" t="inlineStr">
        <is>
          <t>Owner drawings / salary</t>
        </is>
      </c>
      <c r="B52" s="20" t="inlineStr">
        <is>
          <t>Owner Drawings</t>
        </is>
      </c>
      <c r="C52" s="20" t="inlineStr">
        <is>
          <t>Not in P&amp;L: owner</t>
        </is>
      </c>
      <c r="D52" s="3" t="inlineStr">
        <is>
          <t>Money the owner takes out for personal use. NOT a business expense.</t>
        </is>
      </c>
    </row>
    <row r="53">
      <c r="A53" s="13" t="inlineStr">
        <is>
          <t>Owner capital introduced</t>
        </is>
      </c>
      <c r="B53" s="20" t="inlineStr">
        <is>
          <t>Owner Capital</t>
        </is>
      </c>
      <c r="C53" s="20" t="inlineStr">
        <is>
          <t>Not in P&amp;L: owner</t>
        </is>
      </c>
      <c r="D53" s="3" t="inlineStr">
        <is>
          <t>Owner's own money put into the business.</t>
        </is>
      </c>
    </row>
    <row r="54">
      <c r="A54" s="13" t="inlineStr">
        <is>
          <t>Loan received</t>
        </is>
      </c>
      <c r="B54" s="20" t="inlineStr">
        <is>
          <t>Loan In</t>
        </is>
      </c>
      <c r="C54" s="20" t="inlineStr">
        <is>
          <t>Not in P&amp;L: financing</t>
        </is>
      </c>
      <c r="D54" s="3" t="inlineStr">
        <is>
          <t>Money borrowed (bank or person).</t>
        </is>
      </c>
    </row>
    <row r="55">
      <c r="A55" s="13" t="inlineStr">
        <is>
          <t>Loan repayment</t>
        </is>
      </c>
      <c r="B55" s="20" t="inlineStr">
        <is>
          <t>Loan Repayment</t>
        </is>
      </c>
      <c r="C55" s="20" t="inlineStr">
        <is>
          <t>Not in P&amp;L: financing</t>
        </is>
      </c>
      <c r="D55" s="3" t="inlineStr">
        <is>
          <t>Paying back a loan (put interest under Bank charges).</t>
        </is>
      </c>
    </row>
    <row r="56">
      <c r="A56" s="13" t="inlineStr">
        <is>
          <t>Equipment &amp; asset purchases</t>
        </is>
      </c>
      <c r="B56" s="20" t="inlineStr">
        <is>
          <t>Asset Purchase</t>
        </is>
      </c>
      <c r="C56" s="20" t="inlineStr">
        <is>
          <t>Not in P&amp;L: assets</t>
        </is>
      </c>
      <c r="D56" s="3" t="inlineStr">
        <is>
          <t>Laptops, cameras, furniture: items used for years.</t>
        </is>
      </c>
    </row>
    <row r="57">
      <c r="A57" s="13" t="inlineStr">
        <is>
          <t>Income tax paid</t>
        </is>
      </c>
      <c r="B57" s="20" t="inlineStr">
        <is>
          <t>Tax Payment</t>
        </is>
      </c>
      <c r="C57" s="20" t="inlineStr">
        <is>
          <t>Not in P&amp;L: tax</t>
        </is>
      </c>
      <c r="D57" s="3" t="inlineStr">
        <is>
          <t>Income tax instalments and final payments to IRD.</t>
        </is>
      </c>
    </row>
    <row r="58">
      <c r="A58" s="13" t="inlineStr">
        <is>
          <t>VAT / SSCL paid</t>
        </is>
      </c>
      <c r="B58" s="20" t="inlineStr">
        <is>
          <t>Tax Payment</t>
        </is>
      </c>
      <c r="C58" s="20" t="inlineStr">
        <is>
          <t>Not in P&amp;L: tax</t>
        </is>
      </c>
      <c r="D58" s="3" t="inlineStr">
        <is>
          <t>Only if you are registered for VAT or SSCL.</t>
        </is>
      </c>
    </row>
    <row r="59">
      <c r="A59" s="13" t="inlineStr">
        <is>
          <t>Transfer between own accounts</t>
        </is>
      </c>
      <c r="B59" s="20" t="inlineStr">
        <is>
          <t>Transfer</t>
        </is>
      </c>
      <c r="C59" s="20" t="inlineStr">
        <is>
          <t>Not in P&amp;L: movement</t>
        </is>
      </c>
      <c r="D59" s="3" t="inlineStr">
        <is>
          <t>Moving money between your own accounts. Enter TWO rows: money out of one account, money in to the other.</t>
        </is>
      </c>
    </row>
    <row r="60">
      <c r="A60" s="1" t="n"/>
      <c r="B60" s="1" t="n"/>
      <c r="C60" s="1" t="n"/>
      <c r="D60" s="1" t="n"/>
    </row>
    <row r="61">
      <c r="A61" s="3" t="inlineStr">
        <is>
          <t>Tip: rename the yellow category names to match your business, but never change the Type column. The reports group your money by Type.</t>
        </is>
      </c>
      <c r="B61" s="1" t="n"/>
      <c r="C61" s="1" t="n"/>
      <c r="D61" s="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N1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8" customWidth="1" min="2" max="2"/>
    <col width="24" customWidth="1" min="3" max="3"/>
    <col width="32" customWidth="1" min="4" max="4"/>
    <col width="15" customWidth="1" min="5" max="5"/>
    <col width="15" customWidth="1" min="6" max="6"/>
    <col width="30" customWidth="1" min="7" max="7"/>
    <col width="16" customWidth="1" min="8" max="8"/>
    <col width="16" customWidth="1" min="9" max="9"/>
    <col width="10" customWidth="1" min="10" max="10"/>
    <col width="20" customWidth="1" min="11" max="11"/>
    <col width="12" customWidth="1" min="12" max="12"/>
    <col width="14" customWidth="1" min="13" max="13"/>
    <col width="30" customWidth="1" min="14" max="14"/>
  </cols>
  <sheetData>
    <row r="1">
      <c r="A1" s="11" t="inlineStr">
        <is>
          <t>Transactions: the cash book (every rupee in and out)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3" t="inlineStr">
        <is>
          <t>One row per payment. Yellow = you type. Grey = calculated. Enter money IN or money OUT, never both on one row.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5" t="inlineStr">
        <is>
          <t>Legend:</t>
        </is>
      </c>
      <c r="B3" s="3" t="inlineStr">
        <is>
          <t>Blue text = you type  ·  Grey = automatic  ·  Orange = example row (overwrite it)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30" customHeight="1">
      <c r="A4" s="18" t="inlineStr">
        <is>
          <t>Date</t>
        </is>
      </c>
      <c r="B4" s="18" t="inlineStr">
        <is>
          <t>Description</t>
        </is>
      </c>
      <c r="C4" s="18" t="inlineStr">
        <is>
          <t>Client / Supplier</t>
        </is>
      </c>
      <c r="D4" s="18" t="inlineStr">
        <is>
          <t>Category</t>
        </is>
      </c>
      <c r="E4" s="18" t="inlineStr">
        <is>
          <t>Money IN (Rs)</t>
        </is>
      </c>
      <c r="F4" s="18" t="inlineStr">
        <is>
          <t>Money OUT (Rs)</t>
        </is>
      </c>
      <c r="G4" s="18" t="inlineStr">
        <is>
          <t>Account</t>
        </is>
      </c>
      <c r="H4" s="18" t="inlineStr">
        <is>
          <t>Method</t>
        </is>
      </c>
      <c r="I4" s="18" t="inlineStr">
        <is>
          <t>Reference (invoice / receipt no.)</t>
        </is>
      </c>
      <c r="J4" s="18" t="inlineStr">
        <is>
          <t>Receipt saved?</t>
        </is>
      </c>
      <c r="K4" s="18" t="inlineStr">
        <is>
          <t>Type (auto)</t>
        </is>
      </c>
      <c r="L4" s="18" t="inlineStr">
        <is>
          <t>Month (auto)</t>
        </is>
      </c>
      <c r="M4" s="18" t="inlineStr">
        <is>
          <t>Net (auto)</t>
        </is>
      </c>
      <c r="N4" s="18" t="inlineStr">
        <is>
          <t>Notes</t>
        </is>
      </c>
    </row>
    <row r="5">
      <c r="A5" s="21" t="n">
        <v>46115</v>
      </c>
      <c r="B5" s="22" t="inlineStr">
        <is>
          <t>EXAMPLE: Website project, 50% advance</t>
        </is>
      </c>
      <c r="C5" s="22" t="inlineStr">
        <is>
          <t>ABC Holdings (Pvt) Ltd</t>
        </is>
      </c>
      <c r="D5" s="22" t="inlineStr">
        <is>
          <t>Service fees – main service</t>
        </is>
      </c>
      <c r="E5" s="23" t="n">
        <v>150000</v>
      </c>
      <c r="F5" s="23" t="n"/>
      <c r="G5" s="22" t="inlineStr">
        <is>
          <t>Business bank account</t>
        </is>
      </c>
      <c r="H5" s="22" t="inlineStr">
        <is>
          <t>Bank transfer</t>
        </is>
      </c>
      <c r="I5" s="22" t="inlineStr">
        <is>
          <t>INV-001</t>
        </is>
      </c>
      <c r="J5" s="22" t="inlineStr">
        <is>
          <t>Yes</t>
        </is>
      </c>
      <c r="K5" s="24">
        <f>IF(D5="","",IFERROR(INDEX(Setup!$B$24:$B$59,MATCH(D5,Setup!$A$24:$A$59,0)),"Check category"))</f>
        <v/>
      </c>
      <c r="L5" s="25">
        <f>IF(A5="","",DATE(YEAR(A5),MONTH(A5),1))</f>
        <v/>
      </c>
      <c r="M5" s="26">
        <f>IF(AND(E5="",F5=""),"",N(E5)-N(F5))</f>
        <v/>
      </c>
      <c r="N5" s="22" t="inlineStr">
        <is>
          <t>Example row: replace or delete it</t>
        </is>
      </c>
    </row>
    <row r="6">
      <c r="A6" s="27" t="n"/>
      <c r="B6" s="28" t="n"/>
      <c r="C6" s="28" t="n"/>
      <c r="D6" s="28" t="n"/>
      <c r="E6" s="29" t="n"/>
      <c r="F6" s="29" t="n"/>
      <c r="G6" s="28" t="n"/>
      <c r="H6" s="28" t="n"/>
      <c r="I6" s="28" t="n"/>
      <c r="J6" s="28" t="n"/>
      <c r="K6" s="24">
        <f>IF(D6="","",IFERROR(INDEX(Setup!$B$24:$B$59,MATCH(D6,Setup!$A$24:$A$59,0)),"Check category"))</f>
        <v/>
      </c>
      <c r="L6" s="25">
        <f>IF(A6="","",DATE(YEAR(A6),MONTH(A6),1))</f>
        <v/>
      </c>
      <c r="M6" s="26">
        <f>IF(AND(E6="",F6=""),"",N(E6)-N(F6))</f>
        <v/>
      </c>
      <c r="N6" s="28" t="n"/>
    </row>
    <row r="7">
      <c r="A7" s="27" t="n"/>
      <c r="B7" s="28" t="n"/>
      <c r="C7" s="28" t="n"/>
      <c r="D7" s="28" t="n"/>
      <c r="E7" s="29" t="n"/>
      <c r="F7" s="29" t="n"/>
      <c r="G7" s="28" t="n"/>
      <c r="H7" s="28" t="n"/>
      <c r="I7" s="28" t="n"/>
      <c r="J7" s="28" t="n"/>
      <c r="K7" s="24">
        <f>IF(D7="","",IFERROR(INDEX(Setup!$B$24:$B$59,MATCH(D7,Setup!$A$24:$A$59,0)),"Check category"))</f>
        <v/>
      </c>
      <c r="L7" s="25">
        <f>IF(A7="","",DATE(YEAR(A7),MONTH(A7),1))</f>
        <v/>
      </c>
      <c r="M7" s="26">
        <f>IF(AND(E7="",F7=""),"",N(E7)-N(F7))</f>
        <v/>
      </c>
      <c r="N7" s="28" t="n"/>
    </row>
    <row r="8">
      <c r="A8" s="27" t="n"/>
      <c r="B8" s="28" t="n"/>
      <c r="C8" s="28" t="n"/>
      <c r="D8" s="28" t="n"/>
      <c r="E8" s="29" t="n"/>
      <c r="F8" s="29" t="n"/>
      <c r="G8" s="28" t="n"/>
      <c r="H8" s="28" t="n"/>
      <c r="I8" s="28" t="n"/>
      <c r="J8" s="28" t="n"/>
      <c r="K8" s="24">
        <f>IF(D8="","",IFERROR(INDEX(Setup!$B$24:$B$59,MATCH(D8,Setup!$A$24:$A$59,0)),"Check category"))</f>
        <v/>
      </c>
      <c r="L8" s="25">
        <f>IF(A8="","",DATE(YEAR(A8),MONTH(A8),1))</f>
        <v/>
      </c>
      <c r="M8" s="26">
        <f>IF(AND(E8="",F8=""),"",N(E8)-N(F8))</f>
        <v/>
      </c>
      <c r="N8" s="28" t="n"/>
    </row>
    <row r="9">
      <c r="A9" s="27" t="n"/>
      <c r="B9" s="28" t="n"/>
      <c r="C9" s="28" t="n"/>
      <c r="D9" s="28" t="n"/>
      <c r="E9" s="29" t="n"/>
      <c r="F9" s="29" t="n"/>
      <c r="G9" s="28" t="n"/>
      <c r="H9" s="28" t="n"/>
      <c r="I9" s="28" t="n"/>
      <c r="J9" s="28" t="n"/>
      <c r="K9" s="24">
        <f>IF(D9="","",IFERROR(INDEX(Setup!$B$24:$B$59,MATCH(D9,Setup!$A$24:$A$59,0)),"Check category"))</f>
        <v/>
      </c>
      <c r="L9" s="25">
        <f>IF(A9="","",DATE(YEAR(A9),MONTH(A9),1))</f>
        <v/>
      </c>
      <c r="M9" s="26">
        <f>IF(AND(E9="",F9=""),"",N(E9)-N(F9))</f>
        <v/>
      </c>
      <c r="N9" s="28" t="n"/>
    </row>
    <row r="10">
      <c r="A10" s="27" t="n"/>
      <c r="B10" s="28" t="n"/>
      <c r="C10" s="28" t="n"/>
      <c r="D10" s="28" t="n"/>
      <c r="E10" s="29" t="n"/>
      <c r="F10" s="29" t="n"/>
      <c r="G10" s="28" t="n"/>
      <c r="H10" s="28" t="n"/>
      <c r="I10" s="28" t="n"/>
      <c r="J10" s="28" t="n"/>
      <c r="K10" s="24">
        <f>IF(D10="","",IFERROR(INDEX(Setup!$B$24:$B$59,MATCH(D10,Setup!$A$24:$A$59,0)),"Check category"))</f>
        <v/>
      </c>
      <c r="L10" s="25">
        <f>IF(A10="","",DATE(YEAR(A10),MONTH(A10),1))</f>
        <v/>
      </c>
      <c r="M10" s="26">
        <f>IF(AND(E10="",F10=""),"",N(E10)-N(F10))</f>
        <v/>
      </c>
      <c r="N10" s="28" t="n"/>
    </row>
    <row r="11">
      <c r="A11" s="27" t="n"/>
      <c r="B11" s="28" t="n"/>
      <c r="C11" s="28" t="n"/>
      <c r="D11" s="28" t="n"/>
      <c r="E11" s="29" t="n"/>
      <c r="F11" s="29" t="n"/>
      <c r="G11" s="28" t="n"/>
      <c r="H11" s="28" t="n"/>
      <c r="I11" s="28" t="n"/>
      <c r="J11" s="28" t="n"/>
      <c r="K11" s="24">
        <f>IF(D11="","",IFERROR(INDEX(Setup!$B$24:$B$59,MATCH(D11,Setup!$A$24:$A$59,0)),"Check category"))</f>
        <v/>
      </c>
      <c r="L11" s="25">
        <f>IF(A11="","",DATE(YEAR(A11),MONTH(A11),1))</f>
        <v/>
      </c>
      <c r="M11" s="26">
        <f>IF(AND(E11="",F11=""),"",N(E11)-N(F11))</f>
        <v/>
      </c>
      <c r="N11" s="28" t="n"/>
    </row>
    <row r="12">
      <c r="A12" s="27" t="n"/>
      <c r="B12" s="28" t="n"/>
      <c r="C12" s="28" t="n"/>
      <c r="D12" s="28" t="n"/>
      <c r="E12" s="29" t="n"/>
      <c r="F12" s="29" t="n"/>
      <c r="G12" s="28" t="n"/>
      <c r="H12" s="28" t="n"/>
      <c r="I12" s="28" t="n"/>
      <c r="J12" s="28" t="n"/>
      <c r="K12" s="24">
        <f>IF(D12="","",IFERROR(INDEX(Setup!$B$24:$B$59,MATCH(D12,Setup!$A$24:$A$59,0)),"Check category"))</f>
        <v/>
      </c>
      <c r="L12" s="25">
        <f>IF(A12="","",DATE(YEAR(A12),MONTH(A12),1))</f>
        <v/>
      </c>
      <c r="M12" s="26">
        <f>IF(AND(E12="",F12=""),"",N(E12)-N(F12))</f>
        <v/>
      </c>
      <c r="N12" s="28" t="n"/>
    </row>
    <row r="13">
      <c r="A13" s="27" t="n"/>
      <c r="B13" s="28" t="n"/>
      <c r="C13" s="28" t="n"/>
      <c r="D13" s="28" t="n"/>
      <c r="E13" s="29" t="n"/>
      <c r="F13" s="29" t="n"/>
      <c r="G13" s="28" t="n"/>
      <c r="H13" s="28" t="n"/>
      <c r="I13" s="28" t="n"/>
      <c r="J13" s="28" t="n"/>
      <c r="K13" s="24">
        <f>IF(D13="","",IFERROR(INDEX(Setup!$B$24:$B$59,MATCH(D13,Setup!$A$24:$A$59,0)),"Check category"))</f>
        <v/>
      </c>
      <c r="L13" s="25">
        <f>IF(A13="","",DATE(YEAR(A13),MONTH(A13),1))</f>
        <v/>
      </c>
      <c r="M13" s="26">
        <f>IF(AND(E13="",F13=""),"",N(E13)-N(F13))</f>
        <v/>
      </c>
      <c r="N13" s="28" t="n"/>
    </row>
    <row r="14">
      <c r="A14" s="27" t="n"/>
      <c r="B14" s="28" t="n"/>
      <c r="C14" s="28" t="n"/>
      <c r="D14" s="28" t="n"/>
      <c r="E14" s="29" t="n"/>
      <c r="F14" s="29" t="n"/>
      <c r="G14" s="28" t="n"/>
      <c r="H14" s="28" t="n"/>
      <c r="I14" s="28" t="n"/>
      <c r="J14" s="28" t="n"/>
      <c r="K14" s="24">
        <f>IF(D14="","",IFERROR(INDEX(Setup!$B$24:$B$59,MATCH(D14,Setup!$A$24:$A$59,0)),"Check category"))</f>
        <v/>
      </c>
      <c r="L14" s="25">
        <f>IF(A14="","",DATE(YEAR(A14),MONTH(A14),1))</f>
        <v/>
      </c>
      <c r="M14" s="26">
        <f>IF(AND(E14="",F14=""),"",N(E14)-N(F14))</f>
        <v/>
      </c>
      <c r="N14" s="28" t="n"/>
    </row>
    <row r="15">
      <c r="A15" s="27" t="n"/>
      <c r="B15" s="28" t="n"/>
      <c r="C15" s="28" t="n"/>
      <c r="D15" s="28" t="n"/>
      <c r="E15" s="29" t="n"/>
      <c r="F15" s="29" t="n"/>
      <c r="G15" s="28" t="n"/>
      <c r="H15" s="28" t="n"/>
      <c r="I15" s="28" t="n"/>
      <c r="J15" s="28" t="n"/>
      <c r="K15" s="24">
        <f>IF(D15="","",IFERROR(INDEX(Setup!$B$24:$B$59,MATCH(D15,Setup!$A$24:$A$59,0)),"Check category"))</f>
        <v/>
      </c>
      <c r="L15" s="25">
        <f>IF(A15="","",DATE(YEAR(A15),MONTH(A15),1))</f>
        <v/>
      </c>
      <c r="M15" s="26">
        <f>IF(AND(E15="",F15=""),"",N(E15)-N(F15))</f>
        <v/>
      </c>
      <c r="N15" s="28" t="n"/>
    </row>
    <row r="16">
      <c r="A16" s="27" t="n"/>
      <c r="B16" s="28" t="n"/>
      <c r="C16" s="28" t="n"/>
      <c r="D16" s="28" t="n"/>
      <c r="E16" s="29" t="n"/>
      <c r="F16" s="29" t="n"/>
      <c r="G16" s="28" t="n"/>
      <c r="H16" s="28" t="n"/>
      <c r="I16" s="28" t="n"/>
      <c r="J16" s="28" t="n"/>
      <c r="K16" s="24">
        <f>IF(D16="","",IFERROR(INDEX(Setup!$B$24:$B$59,MATCH(D16,Setup!$A$24:$A$59,0)),"Check category"))</f>
        <v/>
      </c>
      <c r="L16" s="25">
        <f>IF(A16="","",DATE(YEAR(A16),MONTH(A16),1))</f>
        <v/>
      </c>
      <c r="M16" s="26">
        <f>IF(AND(E16="",F16=""),"",N(E16)-N(F16))</f>
        <v/>
      </c>
      <c r="N16" s="28" t="n"/>
    </row>
    <row r="17">
      <c r="A17" s="27" t="n"/>
      <c r="B17" s="28" t="n"/>
      <c r="C17" s="28" t="n"/>
      <c r="D17" s="28" t="n"/>
      <c r="E17" s="29" t="n"/>
      <c r="F17" s="29" t="n"/>
      <c r="G17" s="28" t="n"/>
      <c r="H17" s="28" t="n"/>
      <c r="I17" s="28" t="n"/>
      <c r="J17" s="28" t="n"/>
      <c r="K17" s="24">
        <f>IF(D17="","",IFERROR(INDEX(Setup!$B$24:$B$59,MATCH(D17,Setup!$A$24:$A$59,0)),"Check category"))</f>
        <v/>
      </c>
      <c r="L17" s="25">
        <f>IF(A17="","",DATE(YEAR(A17),MONTH(A17),1))</f>
        <v/>
      </c>
      <c r="M17" s="26">
        <f>IF(AND(E17="",F17=""),"",N(E17)-N(F17))</f>
        <v/>
      </c>
      <c r="N17" s="28" t="n"/>
    </row>
    <row r="18">
      <c r="A18" s="27" t="n"/>
      <c r="B18" s="28" t="n"/>
      <c r="C18" s="28" t="n"/>
      <c r="D18" s="28" t="n"/>
      <c r="E18" s="29" t="n"/>
      <c r="F18" s="29" t="n"/>
      <c r="G18" s="28" t="n"/>
      <c r="H18" s="28" t="n"/>
      <c r="I18" s="28" t="n"/>
      <c r="J18" s="28" t="n"/>
      <c r="K18" s="24">
        <f>IF(D18="","",IFERROR(INDEX(Setup!$B$24:$B$59,MATCH(D18,Setup!$A$24:$A$59,0)),"Check category"))</f>
        <v/>
      </c>
      <c r="L18" s="25">
        <f>IF(A18="","",DATE(YEAR(A18),MONTH(A18),1))</f>
        <v/>
      </c>
      <c r="M18" s="26">
        <f>IF(AND(E18="",F18=""),"",N(E18)-N(F18))</f>
        <v/>
      </c>
      <c r="N18" s="28" t="n"/>
    </row>
    <row r="19">
      <c r="A19" s="27" t="n"/>
      <c r="B19" s="28" t="n"/>
      <c r="C19" s="28" t="n"/>
      <c r="D19" s="28" t="n"/>
      <c r="E19" s="29" t="n"/>
      <c r="F19" s="29" t="n"/>
      <c r="G19" s="28" t="n"/>
      <c r="H19" s="28" t="n"/>
      <c r="I19" s="28" t="n"/>
      <c r="J19" s="28" t="n"/>
      <c r="K19" s="24">
        <f>IF(D19="","",IFERROR(INDEX(Setup!$B$24:$B$59,MATCH(D19,Setup!$A$24:$A$59,0)),"Check category"))</f>
        <v/>
      </c>
      <c r="L19" s="25">
        <f>IF(A19="","",DATE(YEAR(A19),MONTH(A19),1))</f>
        <v/>
      </c>
      <c r="M19" s="26">
        <f>IF(AND(E19="",F19=""),"",N(E19)-N(F19))</f>
        <v/>
      </c>
      <c r="N19" s="28" t="n"/>
    </row>
    <row r="20">
      <c r="A20" s="27" t="n"/>
      <c r="B20" s="28" t="n"/>
      <c r="C20" s="28" t="n"/>
      <c r="D20" s="28" t="n"/>
      <c r="E20" s="29" t="n"/>
      <c r="F20" s="29" t="n"/>
      <c r="G20" s="28" t="n"/>
      <c r="H20" s="28" t="n"/>
      <c r="I20" s="28" t="n"/>
      <c r="J20" s="28" t="n"/>
      <c r="K20" s="24">
        <f>IF(D20="","",IFERROR(INDEX(Setup!$B$24:$B$59,MATCH(D20,Setup!$A$24:$A$59,0)),"Check category"))</f>
        <v/>
      </c>
      <c r="L20" s="25">
        <f>IF(A20="","",DATE(YEAR(A20),MONTH(A20),1))</f>
        <v/>
      </c>
      <c r="M20" s="26">
        <f>IF(AND(E20="",F20=""),"",N(E20)-N(F20))</f>
        <v/>
      </c>
      <c r="N20" s="28" t="n"/>
    </row>
    <row r="21">
      <c r="A21" s="27" t="n"/>
      <c r="B21" s="28" t="n"/>
      <c r="C21" s="28" t="n"/>
      <c r="D21" s="28" t="n"/>
      <c r="E21" s="29" t="n"/>
      <c r="F21" s="29" t="n"/>
      <c r="G21" s="28" t="n"/>
      <c r="H21" s="28" t="n"/>
      <c r="I21" s="28" t="n"/>
      <c r="J21" s="28" t="n"/>
      <c r="K21" s="24">
        <f>IF(D21="","",IFERROR(INDEX(Setup!$B$24:$B$59,MATCH(D21,Setup!$A$24:$A$59,0)),"Check category"))</f>
        <v/>
      </c>
      <c r="L21" s="25">
        <f>IF(A21="","",DATE(YEAR(A21),MONTH(A21),1))</f>
        <v/>
      </c>
      <c r="M21" s="26">
        <f>IF(AND(E21="",F21=""),"",N(E21)-N(F21))</f>
        <v/>
      </c>
      <c r="N21" s="28" t="n"/>
    </row>
    <row r="22">
      <c r="A22" s="27" t="n"/>
      <c r="B22" s="28" t="n"/>
      <c r="C22" s="28" t="n"/>
      <c r="D22" s="28" t="n"/>
      <c r="E22" s="29" t="n"/>
      <c r="F22" s="29" t="n"/>
      <c r="G22" s="28" t="n"/>
      <c r="H22" s="28" t="n"/>
      <c r="I22" s="28" t="n"/>
      <c r="J22" s="28" t="n"/>
      <c r="K22" s="24">
        <f>IF(D22="","",IFERROR(INDEX(Setup!$B$24:$B$59,MATCH(D22,Setup!$A$24:$A$59,0)),"Check category"))</f>
        <v/>
      </c>
      <c r="L22" s="25">
        <f>IF(A22="","",DATE(YEAR(A22),MONTH(A22),1))</f>
        <v/>
      </c>
      <c r="M22" s="26">
        <f>IF(AND(E22="",F22=""),"",N(E22)-N(F22))</f>
        <v/>
      </c>
      <c r="N22" s="28" t="n"/>
    </row>
    <row r="23">
      <c r="A23" s="27" t="n"/>
      <c r="B23" s="28" t="n"/>
      <c r="C23" s="28" t="n"/>
      <c r="D23" s="28" t="n"/>
      <c r="E23" s="29" t="n"/>
      <c r="F23" s="29" t="n"/>
      <c r="G23" s="28" t="n"/>
      <c r="H23" s="28" t="n"/>
      <c r="I23" s="28" t="n"/>
      <c r="J23" s="28" t="n"/>
      <c r="K23" s="24">
        <f>IF(D23="","",IFERROR(INDEX(Setup!$B$24:$B$59,MATCH(D23,Setup!$A$24:$A$59,0)),"Check category"))</f>
        <v/>
      </c>
      <c r="L23" s="25">
        <f>IF(A23="","",DATE(YEAR(A23),MONTH(A23),1))</f>
        <v/>
      </c>
      <c r="M23" s="26">
        <f>IF(AND(E23="",F23=""),"",N(E23)-N(F23))</f>
        <v/>
      </c>
      <c r="N23" s="28" t="n"/>
    </row>
    <row r="24">
      <c r="A24" s="27" t="n"/>
      <c r="B24" s="28" t="n"/>
      <c r="C24" s="28" t="n"/>
      <c r="D24" s="28" t="n"/>
      <c r="E24" s="29" t="n"/>
      <c r="F24" s="29" t="n"/>
      <c r="G24" s="28" t="n"/>
      <c r="H24" s="28" t="n"/>
      <c r="I24" s="28" t="n"/>
      <c r="J24" s="28" t="n"/>
      <c r="K24" s="24">
        <f>IF(D24="","",IFERROR(INDEX(Setup!$B$24:$B$59,MATCH(D24,Setup!$A$24:$A$59,0)),"Check category"))</f>
        <v/>
      </c>
      <c r="L24" s="25">
        <f>IF(A24="","",DATE(YEAR(A24),MONTH(A24),1))</f>
        <v/>
      </c>
      <c r="M24" s="26">
        <f>IF(AND(E24="",F24=""),"",N(E24)-N(F24))</f>
        <v/>
      </c>
      <c r="N24" s="28" t="n"/>
    </row>
    <row r="25">
      <c r="A25" s="27" t="n"/>
      <c r="B25" s="28" t="n"/>
      <c r="C25" s="28" t="n"/>
      <c r="D25" s="28" t="n"/>
      <c r="E25" s="29" t="n"/>
      <c r="F25" s="29" t="n"/>
      <c r="G25" s="28" t="n"/>
      <c r="H25" s="28" t="n"/>
      <c r="I25" s="28" t="n"/>
      <c r="J25" s="28" t="n"/>
      <c r="K25" s="24">
        <f>IF(D25="","",IFERROR(INDEX(Setup!$B$24:$B$59,MATCH(D25,Setup!$A$24:$A$59,0)),"Check category"))</f>
        <v/>
      </c>
      <c r="L25" s="25">
        <f>IF(A25="","",DATE(YEAR(A25),MONTH(A25),1))</f>
        <v/>
      </c>
      <c r="M25" s="26">
        <f>IF(AND(E25="",F25=""),"",N(E25)-N(F25))</f>
        <v/>
      </c>
      <c r="N25" s="28" t="n"/>
    </row>
    <row r="26">
      <c r="A26" s="27" t="n"/>
      <c r="B26" s="28" t="n"/>
      <c r="C26" s="28" t="n"/>
      <c r="D26" s="28" t="n"/>
      <c r="E26" s="29" t="n"/>
      <c r="F26" s="29" t="n"/>
      <c r="G26" s="28" t="n"/>
      <c r="H26" s="28" t="n"/>
      <c r="I26" s="28" t="n"/>
      <c r="J26" s="28" t="n"/>
      <c r="K26" s="24">
        <f>IF(D26="","",IFERROR(INDEX(Setup!$B$24:$B$59,MATCH(D26,Setup!$A$24:$A$59,0)),"Check category"))</f>
        <v/>
      </c>
      <c r="L26" s="25">
        <f>IF(A26="","",DATE(YEAR(A26),MONTH(A26),1))</f>
        <v/>
      </c>
      <c r="M26" s="26">
        <f>IF(AND(E26="",F26=""),"",N(E26)-N(F26))</f>
        <v/>
      </c>
      <c r="N26" s="28" t="n"/>
    </row>
    <row r="27">
      <c r="A27" s="27" t="n"/>
      <c r="B27" s="28" t="n"/>
      <c r="C27" s="28" t="n"/>
      <c r="D27" s="28" t="n"/>
      <c r="E27" s="29" t="n"/>
      <c r="F27" s="29" t="n"/>
      <c r="G27" s="28" t="n"/>
      <c r="H27" s="28" t="n"/>
      <c r="I27" s="28" t="n"/>
      <c r="J27" s="28" t="n"/>
      <c r="K27" s="24">
        <f>IF(D27="","",IFERROR(INDEX(Setup!$B$24:$B$59,MATCH(D27,Setup!$A$24:$A$59,0)),"Check category"))</f>
        <v/>
      </c>
      <c r="L27" s="25">
        <f>IF(A27="","",DATE(YEAR(A27),MONTH(A27),1))</f>
        <v/>
      </c>
      <c r="M27" s="26">
        <f>IF(AND(E27="",F27=""),"",N(E27)-N(F27))</f>
        <v/>
      </c>
      <c r="N27" s="28" t="n"/>
    </row>
    <row r="28">
      <c r="A28" s="27" t="n"/>
      <c r="B28" s="28" t="n"/>
      <c r="C28" s="28" t="n"/>
      <c r="D28" s="28" t="n"/>
      <c r="E28" s="29" t="n"/>
      <c r="F28" s="29" t="n"/>
      <c r="G28" s="28" t="n"/>
      <c r="H28" s="28" t="n"/>
      <c r="I28" s="28" t="n"/>
      <c r="J28" s="28" t="n"/>
      <c r="K28" s="24">
        <f>IF(D28="","",IFERROR(INDEX(Setup!$B$24:$B$59,MATCH(D28,Setup!$A$24:$A$59,0)),"Check category"))</f>
        <v/>
      </c>
      <c r="L28" s="25">
        <f>IF(A28="","",DATE(YEAR(A28),MONTH(A28),1))</f>
        <v/>
      </c>
      <c r="M28" s="26">
        <f>IF(AND(E28="",F28=""),"",N(E28)-N(F28))</f>
        <v/>
      </c>
      <c r="N28" s="28" t="n"/>
    </row>
    <row r="29">
      <c r="A29" s="27" t="n"/>
      <c r="B29" s="28" t="n"/>
      <c r="C29" s="28" t="n"/>
      <c r="D29" s="28" t="n"/>
      <c r="E29" s="29" t="n"/>
      <c r="F29" s="29" t="n"/>
      <c r="G29" s="28" t="n"/>
      <c r="H29" s="28" t="n"/>
      <c r="I29" s="28" t="n"/>
      <c r="J29" s="28" t="n"/>
      <c r="K29" s="24">
        <f>IF(D29="","",IFERROR(INDEX(Setup!$B$24:$B$59,MATCH(D29,Setup!$A$24:$A$59,0)),"Check category"))</f>
        <v/>
      </c>
      <c r="L29" s="25">
        <f>IF(A29="","",DATE(YEAR(A29),MONTH(A29),1))</f>
        <v/>
      </c>
      <c r="M29" s="26">
        <f>IF(AND(E29="",F29=""),"",N(E29)-N(F29))</f>
        <v/>
      </c>
      <c r="N29" s="28" t="n"/>
    </row>
    <row r="30">
      <c r="A30" s="27" t="n"/>
      <c r="B30" s="28" t="n"/>
      <c r="C30" s="28" t="n"/>
      <c r="D30" s="28" t="n"/>
      <c r="E30" s="29" t="n"/>
      <c r="F30" s="29" t="n"/>
      <c r="G30" s="28" t="n"/>
      <c r="H30" s="28" t="n"/>
      <c r="I30" s="28" t="n"/>
      <c r="J30" s="28" t="n"/>
      <c r="K30" s="24">
        <f>IF(D30="","",IFERROR(INDEX(Setup!$B$24:$B$59,MATCH(D30,Setup!$A$24:$A$59,0)),"Check category"))</f>
        <v/>
      </c>
      <c r="L30" s="25">
        <f>IF(A30="","",DATE(YEAR(A30),MONTH(A30),1))</f>
        <v/>
      </c>
      <c r="M30" s="26">
        <f>IF(AND(E30="",F30=""),"",N(E30)-N(F30))</f>
        <v/>
      </c>
      <c r="N30" s="28" t="n"/>
    </row>
    <row r="31">
      <c r="A31" s="27" t="n"/>
      <c r="B31" s="28" t="n"/>
      <c r="C31" s="28" t="n"/>
      <c r="D31" s="28" t="n"/>
      <c r="E31" s="29" t="n"/>
      <c r="F31" s="29" t="n"/>
      <c r="G31" s="28" t="n"/>
      <c r="H31" s="28" t="n"/>
      <c r="I31" s="28" t="n"/>
      <c r="J31" s="28" t="n"/>
      <c r="K31" s="24">
        <f>IF(D31="","",IFERROR(INDEX(Setup!$B$24:$B$59,MATCH(D31,Setup!$A$24:$A$59,0)),"Check category"))</f>
        <v/>
      </c>
      <c r="L31" s="25">
        <f>IF(A31="","",DATE(YEAR(A31),MONTH(A31),1))</f>
        <v/>
      </c>
      <c r="M31" s="26">
        <f>IF(AND(E31="",F31=""),"",N(E31)-N(F31))</f>
        <v/>
      </c>
      <c r="N31" s="28" t="n"/>
    </row>
    <row r="32">
      <c r="A32" s="27" t="n"/>
      <c r="B32" s="28" t="n"/>
      <c r="C32" s="28" t="n"/>
      <c r="D32" s="28" t="n"/>
      <c r="E32" s="29" t="n"/>
      <c r="F32" s="29" t="n"/>
      <c r="G32" s="28" t="n"/>
      <c r="H32" s="28" t="n"/>
      <c r="I32" s="28" t="n"/>
      <c r="J32" s="28" t="n"/>
      <c r="K32" s="24">
        <f>IF(D32="","",IFERROR(INDEX(Setup!$B$24:$B$59,MATCH(D32,Setup!$A$24:$A$59,0)),"Check category"))</f>
        <v/>
      </c>
      <c r="L32" s="25">
        <f>IF(A32="","",DATE(YEAR(A32),MONTH(A32),1))</f>
        <v/>
      </c>
      <c r="M32" s="26">
        <f>IF(AND(E32="",F32=""),"",N(E32)-N(F32))</f>
        <v/>
      </c>
      <c r="N32" s="28" t="n"/>
    </row>
    <row r="33">
      <c r="A33" s="27" t="n"/>
      <c r="B33" s="28" t="n"/>
      <c r="C33" s="28" t="n"/>
      <c r="D33" s="28" t="n"/>
      <c r="E33" s="29" t="n"/>
      <c r="F33" s="29" t="n"/>
      <c r="G33" s="28" t="n"/>
      <c r="H33" s="28" t="n"/>
      <c r="I33" s="28" t="n"/>
      <c r="J33" s="28" t="n"/>
      <c r="K33" s="24">
        <f>IF(D33="","",IFERROR(INDEX(Setup!$B$24:$B$59,MATCH(D33,Setup!$A$24:$A$59,0)),"Check category"))</f>
        <v/>
      </c>
      <c r="L33" s="25">
        <f>IF(A33="","",DATE(YEAR(A33),MONTH(A33),1))</f>
        <v/>
      </c>
      <c r="M33" s="26">
        <f>IF(AND(E33="",F33=""),"",N(E33)-N(F33))</f>
        <v/>
      </c>
      <c r="N33" s="28" t="n"/>
    </row>
    <row r="34">
      <c r="A34" s="27" t="n"/>
      <c r="B34" s="28" t="n"/>
      <c r="C34" s="28" t="n"/>
      <c r="D34" s="28" t="n"/>
      <c r="E34" s="29" t="n"/>
      <c r="F34" s="29" t="n"/>
      <c r="G34" s="28" t="n"/>
      <c r="H34" s="28" t="n"/>
      <c r="I34" s="28" t="n"/>
      <c r="J34" s="28" t="n"/>
      <c r="K34" s="24">
        <f>IF(D34="","",IFERROR(INDEX(Setup!$B$24:$B$59,MATCH(D34,Setup!$A$24:$A$59,0)),"Check category"))</f>
        <v/>
      </c>
      <c r="L34" s="25">
        <f>IF(A34="","",DATE(YEAR(A34),MONTH(A34),1))</f>
        <v/>
      </c>
      <c r="M34" s="26">
        <f>IF(AND(E34="",F34=""),"",N(E34)-N(F34))</f>
        <v/>
      </c>
      <c r="N34" s="28" t="n"/>
    </row>
    <row r="35">
      <c r="A35" s="27" t="n"/>
      <c r="B35" s="28" t="n"/>
      <c r="C35" s="28" t="n"/>
      <c r="D35" s="28" t="n"/>
      <c r="E35" s="29" t="n"/>
      <c r="F35" s="29" t="n"/>
      <c r="G35" s="28" t="n"/>
      <c r="H35" s="28" t="n"/>
      <c r="I35" s="28" t="n"/>
      <c r="J35" s="28" t="n"/>
      <c r="K35" s="24">
        <f>IF(D35="","",IFERROR(INDEX(Setup!$B$24:$B$59,MATCH(D35,Setup!$A$24:$A$59,0)),"Check category"))</f>
        <v/>
      </c>
      <c r="L35" s="25">
        <f>IF(A35="","",DATE(YEAR(A35),MONTH(A35),1))</f>
        <v/>
      </c>
      <c r="M35" s="26">
        <f>IF(AND(E35="",F35=""),"",N(E35)-N(F35))</f>
        <v/>
      </c>
      <c r="N35" s="28" t="n"/>
    </row>
    <row r="36">
      <c r="A36" s="27" t="n"/>
      <c r="B36" s="28" t="n"/>
      <c r="C36" s="28" t="n"/>
      <c r="D36" s="28" t="n"/>
      <c r="E36" s="29" t="n"/>
      <c r="F36" s="29" t="n"/>
      <c r="G36" s="28" t="n"/>
      <c r="H36" s="28" t="n"/>
      <c r="I36" s="28" t="n"/>
      <c r="J36" s="28" t="n"/>
      <c r="K36" s="24">
        <f>IF(D36="","",IFERROR(INDEX(Setup!$B$24:$B$59,MATCH(D36,Setup!$A$24:$A$59,0)),"Check category"))</f>
        <v/>
      </c>
      <c r="L36" s="25">
        <f>IF(A36="","",DATE(YEAR(A36),MONTH(A36),1))</f>
        <v/>
      </c>
      <c r="M36" s="26">
        <f>IF(AND(E36="",F36=""),"",N(E36)-N(F36))</f>
        <v/>
      </c>
      <c r="N36" s="28" t="n"/>
    </row>
    <row r="37">
      <c r="A37" s="27" t="n"/>
      <c r="B37" s="28" t="n"/>
      <c r="C37" s="28" t="n"/>
      <c r="D37" s="28" t="n"/>
      <c r="E37" s="29" t="n"/>
      <c r="F37" s="29" t="n"/>
      <c r="G37" s="28" t="n"/>
      <c r="H37" s="28" t="n"/>
      <c r="I37" s="28" t="n"/>
      <c r="J37" s="28" t="n"/>
      <c r="K37" s="24">
        <f>IF(D37="","",IFERROR(INDEX(Setup!$B$24:$B$59,MATCH(D37,Setup!$A$24:$A$59,0)),"Check category"))</f>
        <v/>
      </c>
      <c r="L37" s="25">
        <f>IF(A37="","",DATE(YEAR(A37),MONTH(A37),1))</f>
        <v/>
      </c>
      <c r="M37" s="26">
        <f>IF(AND(E37="",F37=""),"",N(E37)-N(F37))</f>
        <v/>
      </c>
      <c r="N37" s="28" t="n"/>
    </row>
    <row r="38">
      <c r="A38" s="27" t="n"/>
      <c r="B38" s="28" t="n"/>
      <c r="C38" s="28" t="n"/>
      <c r="D38" s="28" t="n"/>
      <c r="E38" s="29" t="n"/>
      <c r="F38" s="29" t="n"/>
      <c r="G38" s="28" t="n"/>
      <c r="H38" s="28" t="n"/>
      <c r="I38" s="28" t="n"/>
      <c r="J38" s="28" t="n"/>
      <c r="K38" s="24">
        <f>IF(D38="","",IFERROR(INDEX(Setup!$B$24:$B$59,MATCH(D38,Setup!$A$24:$A$59,0)),"Check category"))</f>
        <v/>
      </c>
      <c r="L38" s="25">
        <f>IF(A38="","",DATE(YEAR(A38),MONTH(A38),1))</f>
        <v/>
      </c>
      <c r="M38" s="26">
        <f>IF(AND(E38="",F38=""),"",N(E38)-N(F38))</f>
        <v/>
      </c>
      <c r="N38" s="28" t="n"/>
    </row>
    <row r="39">
      <c r="A39" s="27" t="n"/>
      <c r="B39" s="28" t="n"/>
      <c r="C39" s="28" t="n"/>
      <c r="D39" s="28" t="n"/>
      <c r="E39" s="29" t="n"/>
      <c r="F39" s="29" t="n"/>
      <c r="G39" s="28" t="n"/>
      <c r="H39" s="28" t="n"/>
      <c r="I39" s="28" t="n"/>
      <c r="J39" s="28" t="n"/>
      <c r="K39" s="24">
        <f>IF(D39="","",IFERROR(INDEX(Setup!$B$24:$B$59,MATCH(D39,Setup!$A$24:$A$59,0)),"Check category"))</f>
        <v/>
      </c>
      <c r="L39" s="25">
        <f>IF(A39="","",DATE(YEAR(A39),MONTH(A39),1))</f>
        <v/>
      </c>
      <c r="M39" s="26">
        <f>IF(AND(E39="",F39=""),"",N(E39)-N(F39))</f>
        <v/>
      </c>
      <c r="N39" s="28" t="n"/>
    </row>
    <row r="40">
      <c r="A40" s="27" t="n"/>
      <c r="B40" s="28" t="n"/>
      <c r="C40" s="28" t="n"/>
      <c r="D40" s="28" t="n"/>
      <c r="E40" s="29" t="n"/>
      <c r="F40" s="29" t="n"/>
      <c r="G40" s="28" t="n"/>
      <c r="H40" s="28" t="n"/>
      <c r="I40" s="28" t="n"/>
      <c r="J40" s="28" t="n"/>
      <c r="K40" s="24">
        <f>IF(D40="","",IFERROR(INDEX(Setup!$B$24:$B$59,MATCH(D40,Setup!$A$24:$A$59,0)),"Check category"))</f>
        <v/>
      </c>
      <c r="L40" s="25">
        <f>IF(A40="","",DATE(YEAR(A40),MONTH(A40),1))</f>
        <v/>
      </c>
      <c r="M40" s="26">
        <f>IF(AND(E40="",F40=""),"",N(E40)-N(F40))</f>
        <v/>
      </c>
      <c r="N40" s="28" t="n"/>
    </row>
    <row r="41">
      <c r="A41" s="27" t="n"/>
      <c r="B41" s="28" t="n"/>
      <c r="C41" s="28" t="n"/>
      <c r="D41" s="28" t="n"/>
      <c r="E41" s="29" t="n"/>
      <c r="F41" s="29" t="n"/>
      <c r="G41" s="28" t="n"/>
      <c r="H41" s="28" t="n"/>
      <c r="I41" s="28" t="n"/>
      <c r="J41" s="28" t="n"/>
      <c r="K41" s="24">
        <f>IF(D41="","",IFERROR(INDEX(Setup!$B$24:$B$59,MATCH(D41,Setup!$A$24:$A$59,0)),"Check category"))</f>
        <v/>
      </c>
      <c r="L41" s="25">
        <f>IF(A41="","",DATE(YEAR(A41),MONTH(A41),1))</f>
        <v/>
      </c>
      <c r="M41" s="26">
        <f>IF(AND(E41="",F41=""),"",N(E41)-N(F41))</f>
        <v/>
      </c>
      <c r="N41" s="28" t="n"/>
    </row>
    <row r="42">
      <c r="A42" s="27" t="n"/>
      <c r="B42" s="28" t="n"/>
      <c r="C42" s="28" t="n"/>
      <c r="D42" s="28" t="n"/>
      <c r="E42" s="29" t="n"/>
      <c r="F42" s="29" t="n"/>
      <c r="G42" s="28" t="n"/>
      <c r="H42" s="28" t="n"/>
      <c r="I42" s="28" t="n"/>
      <c r="J42" s="28" t="n"/>
      <c r="K42" s="24">
        <f>IF(D42="","",IFERROR(INDEX(Setup!$B$24:$B$59,MATCH(D42,Setup!$A$24:$A$59,0)),"Check category"))</f>
        <v/>
      </c>
      <c r="L42" s="25">
        <f>IF(A42="","",DATE(YEAR(A42),MONTH(A42),1))</f>
        <v/>
      </c>
      <c r="M42" s="26">
        <f>IF(AND(E42="",F42=""),"",N(E42)-N(F42))</f>
        <v/>
      </c>
      <c r="N42" s="28" t="n"/>
    </row>
    <row r="43">
      <c r="A43" s="27" t="n"/>
      <c r="B43" s="28" t="n"/>
      <c r="C43" s="28" t="n"/>
      <c r="D43" s="28" t="n"/>
      <c r="E43" s="29" t="n"/>
      <c r="F43" s="29" t="n"/>
      <c r="G43" s="28" t="n"/>
      <c r="H43" s="28" t="n"/>
      <c r="I43" s="28" t="n"/>
      <c r="J43" s="28" t="n"/>
      <c r="K43" s="24">
        <f>IF(D43="","",IFERROR(INDEX(Setup!$B$24:$B$59,MATCH(D43,Setup!$A$24:$A$59,0)),"Check category"))</f>
        <v/>
      </c>
      <c r="L43" s="25">
        <f>IF(A43="","",DATE(YEAR(A43),MONTH(A43),1))</f>
        <v/>
      </c>
      <c r="M43" s="26">
        <f>IF(AND(E43="",F43=""),"",N(E43)-N(F43))</f>
        <v/>
      </c>
      <c r="N43" s="28" t="n"/>
    </row>
    <row r="44">
      <c r="A44" s="27" t="n"/>
      <c r="B44" s="28" t="n"/>
      <c r="C44" s="28" t="n"/>
      <c r="D44" s="28" t="n"/>
      <c r="E44" s="29" t="n"/>
      <c r="F44" s="29" t="n"/>
      <c r="G44" s="28" t="n"/>
      <c r="H44" s="28" t="n"/>
      <c r="I44" s="28" t="n"/>
      <c r="J44" s="28" t="n"/>
      <c r="K44" s="24">
        <f>IF(D44="","",IFERROR(INDEX(Setup!$B$24:$B$59,MATCH(D44,Setup!$A$24:$A$59,0)),"Check category"))</f>
        <v/>
      </c>
      <c r="L44" s="25">
        <f>IF(A44="","",DATE(YEAR(A44),MONTH(A44),1))</f>
        <v/>
      </c>
      <c r="M44" s="26">
        <f>IF(AND(E44="",F44=""),"",N(E44)-N(F44))</f>
        <v/>
      </c>
      <c r="N44" s="28" t="n"/>
    </row>
    <row r="45">
      <c r="A45" s="27" t="n"/>
      <c r="B45" s="28" t="n"/>
      <c r="C45" s="28" t="n"/>
      <c r="D45" s="28" t="n"/>
      <c r="E45" s="29" t="n"/>
      <c r="F45" s="29" t="n"/>
      <c r="G45" s="28" t="n"/>
      <c r="H45" s="28" t="n"/>
      <c r="I45" s="28" t="n"/>
      <c r="J45" s="28" t="n"/>
      <c r="K45" s="24">
        <f>IF(D45="","",IFERROR(INDEX(Setup!$B$24:$B$59,MATCH(D45,Setup!$A$24:$A$59,0)),"Check category"))</f>
        <v/>
      </c>
      <c r="L45" s="25">
        <f>IF(A45="","",DATE(YEAR(A45),MONTH(A45),1))</f>
        <v/>
      </c>
      <c r="M45" s="26">
        <f>IF(AND(E45="",F45=""),"",N(E45)-N(F45))</f>
        <v/>
      </c>
      <c r="N45" s="28" t="n"/>
    </row>
    <row r="46">
      <c r="A46" s="27" t="n"/>
      <c r="B46" s="28" t="n"/>
      <c r="C46" s="28" t="n"/>
      <c r="D46" s="28" t="n"/>
      <c r="E46" s="29" t="n"/>
      <c r="F46" s="29" t="n"/>
      <c r="G46" s="28" t="n"/>
      <c r="H46" s="28" t="n"/>
      <c r="I46" s="28" t="n"/>
      <c r="J46" s="28" t="n"/>
      <c r="K46" s="24">
        <f>IF(D46="","",IFERROR(INDEX(Setup!$B$24:$B$59,MATCH(D46,Setup!$A$24:$A$59,0)),"Check category"))</f>
        <v/>
      </c>
      <c r="L46" s="25">
        <f>IF(A46="","",DATE(YEAR(A46),MONTH(A46),1))</f>
        <v/>
      </c>
      <c r="M46" s="26">
        <f>IF(AND(E46="",F46=""),"",N(E46)-N(F46))</f>
        <v/>
      </c>
      <c r="N46" s="28" t="n"/>
    </row>
    <row r="47">
      <c r="A47" s="27" t="n"/>
      <c r="B47" s="28" t="n"/>
      <c r="C47" s="28" t="n"/>
      <c r="D47" s="28" t="n"/>
      <c r="E47" s="29" t="n"/>
      <c r="F47" s="29" t="n"/>
      <c r="G47" s="28" t="n"/>
      <c r="H47" s="28" t="n"/>
      <c r="I47" s="28" t="n"/>
      <c r="J47" s="28" t="n"/>
      <c r="K47" s="24">
        <f>IF(D47="","",IFERROR(INDEX(Setup!$B$24:$B$59,MATCH(D47,Setup!$A$24:$A$59,0)),"Check category"))</f>
        <v/>
      </c>
      <c r="L47" s="25">
        <f>IF(A47="","",DATE(YEAR(A47),MONTH(A47),1))</f>
        <v/>
      </c>
      <c r="M47" s="26">
        <f>IF(AND(E47="",F47=""),"",N(E47)-N(F47))</f>
        <v/>
      </c>
      <c r="N47" s="28" t="n"/>
    </row>
    <row r="48">
      <c r="A48" s="27" t="n"/>
      <c r="B48" s="28" t="n"/>
      <c r="C48" s="28" t="n"/>
      <c r="D48" s="28" t="n"/>
      <c r="E48" s="29" t="n"/>
      <c r="F48" s="29" t="n"/>
      <c r="G48" s="28" t="n"/>
      <c r="H48" s="28" t="n"/>
      <c r="I48" s="28" t="n"/>
      <c r="J48" s="28" t="n"/>
      <c r="K48" s="24">
        <f>IF(D48="","",IFERROR(INDEX(Setup!$B$24:$B$59,MATCH(D48,Setup!$A$24:$A$59,0)),"Check category"))</f>
        <v/>
      </c>
      <c r="L48" s="25">
        <f>IF(A48="","",DATE(YEAR(A48),MONTH(A48),1))</f>
        <v/>
      </c>
      <c r="M48" s="26">
        <f>IF(AND(E48="",F48=""),"",N(E48)-N(F48))</f>
        <v/>
      </c>
      <c r="N48" s="28" t="n"/>
    </row>
    <row r="49">
      <c r="A49" s="27" t="n"/>
      <c r="B49" s="28" t="n"/>
      <c r="C49" s="28" t="n"/>
      <c r="D49" s="28" t="n"/>
      <c r="E49" s="29" t="n"/>
      <c r="F49" s="29" t="n"/>
      <c r="G49" s="28" t="n"/>
      <c r="H49" s="28" t="n"/>
      <c r="I49" s="28" t="n"/>
      <c r="J49" s="28" t="n"/>
      <c r="K49" s="24">
        <f>IF(D49="","",IFERROR(INDEX(Setup!$B$24:$B$59,MATCH(D49,Setup!$A$24:$A$59,0)),"Check category"))</f>
        <v/>
      </c>
      <c r="L49" s="25">
        <f>IF(A49="","",DATE(YEAR(A49),MONTH(A49),1))</f>
        <v/>
      </c>
      <c r="M49" s="26">
        <f>IF(AND(E49="",F49=""),"",N(E49)-N(F49))</f>
        <v/>
      </c>
      <c r="N49" s="28" t="n"/>
    </row>
    <row r="50">
      <c r="A50" s="27" t="n"/>
      <c r="B50" s="28" t="n"/>
      <c r="C50" s="28" t="n"/>
      <c r="D50" s="28" t="n"/>
      <c r="E50" s="29" t="n"/>
      <c r="F50" s="29" t="n"/>
      <c r="G50" s="28" t="n"/>
      <c r="H50" s="28" t="n"/>
      <c r="I50" s="28" t="n"/>
      <c r="J50" s="28" t="n"/>
      <c r="K50" s="24">
        <f>IF(D50="","",IFERROR(INDEX(Setup!$B$24:$B$59,MATCH(D50,Setup!$A$24:$A$59,0)),"Check category"))</f>
        <v/>
      </c>
      <c r="L50" s="25">
        <f>IF(A50="","",DATE(YEAR(A50),MONTH(A50),1))</f>
        <v/>
      </c>
      <c r="M50" s="26">
        <f>IF(AND(E50="",F50=""),"",N(E50)-N(F50))</f>
        <v/>
      </c>
      <c r="N50" s="28" t="n"/>
    </row>
    <row r="51">
      <c r="A51" s="27" t="n"/>
      <c r="B51" s="28" t="n"/>
      <c r="C51" s="28" t="n"/>
      <c r="D51" s="28" t="n"/>
      <c r="E51" s="29" t="n"/>
      <c r="F51" s="29" t="n"/>
      <c r="G51" s="28" t="n"/>
      <c r="H51" s="28" t="n"/>
      <c r="I51" s="28" t="n"/>
      <c r="J51" s="28" t="n"/>
      <c r="K51" s="24">
        <f>IF(D51="","",IFERROR(INDEX(Setup!$B$24:$B$59,MATCH(D51,Setup!$A$24:$A$59,0)),"Check category"))</f>
        <v/>
      </c>
      <c r="L51" s="25">
        <f>IF(A51="","",DATE(YEAR(A51),MONTH(A51),1))</f>
        <v/>
      </c>
      <c r="M51" s="26">
        <f>IF(AND(E51="",F51=""),"",N(E51)-N(F51))</f>
        <v/>
      </c>
      <c r="N51" s="28" t="n"/>
    </row>
    <row r="52">
      <c r="A52" s="27" t="n"/>
      <c r="B52" s="28" t="n"/>
      <c r="C52" s="28" t="n"/>
      <c r="D52" s="28" t="n"/>
      <c r="E52" s="29" t="n"/>
      <c r="F52" s="29" t="n"/>
      <c r="G52" s="28" t="n"/>
      <c r="H52" s="28" t="n"/>
      <c r="I52" s="28" t="n"/>
      <c r="J52" s="28" t="n"/>
      <c r="K52" s="24">
        <f>IF(D52="","",IFERROR(INDEX(Setup!$B$24:$B$59,MATCH(D52,Setup!$A$24:$A$59,0)),"Check category"))</f>
        <v/>
      </c>
      <c r="L52" s="25">
        <f>IF(A52="","",DATE(YEAR(A52),MONTH(A52),1))</f>
        <v/>
      </c>
      <c r="M52" s="26">
        <f>IF(AND(E52="",F52=""),"",N(E52)-N(F52))</f>
        <v/>
      </c>
      <c r="N52" s="28" t="n"/>
    </row>
    <row r="53">
      <c r="A53" s="27" t="n"/>
      <c r="B53" s="28" t="n"/>
      <c r="C53" s="28" t="n"/>
      <c r="D53" s="28" t="n"/>
      <c r="E53" s="29" t="n"/>
      <c r="F53" s="29" t="n"/>
      <c r="G53" s="28" t="n"/>
      <c r="H53" s="28" t="n"/>
      <c r="I53" s="28" t="n"/>
      <c r="J53" s="28" t="n"/>
      <c r="K53" s="24">
        <f>IF(D53="","",IFERROR(INDEX(Setup!$B$24:$B$59,MATCH(D53,Setup!$A$24:$A$59,0)),"Check category"))</f>
        <v/>
      </c>
      <c r="L53" s="25">
        <f>IF(A53="","",DATE(YEAR(A53),MONTH(A53),1))</f>
        <v/>
      </c>
      <c r="M53" s="26">
        <f>IF(AND(E53="",F53=""),"",N(E53)-N(F53))</f>
        <v/>
      </c>
      <c r="N53" s="28" t="n"/>
    </row>
    <row r="54">
      <c r="A54" s="27" t="n"/>
      <c r="B54" s="28" t="n"/>
      <c r="C54" s="28" t="n"/>
      <c r="D54" s="28" t="n"/>
      <c r="E54" s="29" t="n"/>
      <c r="F54" s="29" t="n"/>
      <c r="G54" s="28" t="n"/>
      <c r="H54" s="28" t="n"/>
      <c r="I54" s="28" t="n"/>
      <c r="J54" s="28" t="n"/>
      <c r="K54" s="24">
        <f>IF(D54="","",IFERROR(INDEX(Setup!$B$24:$B$59,MATCH(D54,Setup!$A$24:$A$59,0)),"Check category"))</f>
        <v/>
      </c>
      <c r="L54" s="25">
        <f>IF(A54="","",DATE(YEAR(A54),MONTH(A54),1))</f>
        <v/>
      </c>
      <c r="M54" s="26">
        <f>IF(AND(E54="",F54=""),"",N(E54)-N(F54))</f>
        <v/>
      </c>
      <c r="N54" s="28" t="n"/>
    </row>
    <row r="55">
      <c r="A55" s="27" t="n"/>
      <c r="B55" s="28" t="n"/>
      <c r="C55" s="28" t="n"/>
      <c r="D55" s="28" t="n"/>
      <c r="E55" s="29" t="n"/>
      <c r="F55" s="29" t="n"/>
      <c r="G55" s="28" t="n"/>
      <c r="H55" s="28" t="n"/>
      <c r="I55" s="28" t="n"/>
      <c r="J55" s="28" t="n"/>
      <c r="K55" s="24">
        <f>IF(D55="","",IFERROR(INDEX(Setup!$B$24:$B$59,MATCH(D55,Setup!$A$24:$A$59,0)),"Check category"))</f>
        <v/>
      </c>
      <c r="L55" s="25">
        <f>IF(A55="","",DATE(YEAR(A55),MONTH(A55),1))</f>
        <v/>
      </c>
      <c r="M55" s="26">
        <f>IF(AND(E55="",F55=""),"",N(E55)-N(F55))</f>
        <v/>
      </c>
      <c r="N55" s="28" t="n"/>
    </row>
    <row r="56">
      <c r="A56" s="27" t="n"/>
      <c r="B56" s="28" t="n"/>
      <c r="C56" s="28" t="n"/>
      <c r="D56" s="28" t="n"/>
      <c r="E56" s="29" t="n"/>
      <c r="F56" s="29" t="n"/>
      <c r="G56" s="28" t="n"/>
      <c r="H56" s="28" t="n"/>
      <c r="I56" s="28" t="n"/>
      <c r="J56" s="28" t="n"/>
      <c r="K56" s="24">
        <f>IF(D56="","",IFERROR(INDEX(Setup!$B$24:$B$59,MATCH(D56,Setup!$A$24:$A$59,0)),"Check category"))</f>
        <v/>
      </c>
      <c r="L56" s="25">
        <f>IF(A56="","",DATE(YEAR(A56),MONTH(A56),1))</f>
        <v/>
      </c>
      <c r="M56" s="26">
        <f>IF(AND(E56="",F56=""),"",N(E56)-N(F56))</f>
        <v/>
      </c>
      <c r="N56" s="28" t="n"/>
    </row>
    <row r="57">
      <c r="A57" s="27" t="n"/>
      <c r="B57" s="28" t="n"/>
      <c r="C57" s="28" t="n"/>
      <c r="D57" s="28" t="n"/>
      <c r="E57" s="29" t="n"/>
      <c r="F57" s="29" t="n"/>
      <c r="G57" s="28" t="n"/>
      <c r="H57" s="28" t="n"/>
      <c r="I57" s="28" t="n"/>
      <c r="J57" s="28" t="n"/>
      <c r="K57" s="24">
        <f>IF(D57="","",IFERROR(INDEX(Setup!$B$24:$B$59,MATCH(D57,Setup!$A$24:$A$59,0)),"Check category"))</f>
        <v/>
      </c>
      <c r="L57" s="25">
        <f>IF(A57="","",DATE(YEAR(A57),MONTH(A57),1))</f>
        <v/>
      </c>
      <c r="M57" s="26">
        <f>IF(AND(E57="",F57=""),"",N(E57)-N(F57))</f>
        <v/>
      </c>
      <c r="N57" s="28" t="n"/>
    </row>
    <row r="58">
      <c r="A58" s="27" t="n"/>
      <c r="B58" s="28" t="n"/>
      <c r="C58" s="28" t="n"/>
      <c r="D58" s="28" t="n"/>
      <c r="E58" s="29" t="n"/>
      <c r="F58" s="29" t="n"/>
      <c r="G58" s="28" t="n"/>
      <c r="H58" s="28" t="n"/>
      <c r="I58" s="28" t="n"/>
      <c r="J58" s="28" t="n"/>
      <c r="K58" s="24">
        <f>IF(D58="","",IFERROR(INDEX(Setup!$B$24:$B$59,MATCH(D58,Setup!$A$24:$A$59,0)),"Check category"))</f>
        <v/>
      </c>
      <c r="L58" s="25">
        <f>IF(A58="","",DATE(YEAR(A58),MONTH(A58),1))</f>
        <v/>
      </c>
      <c r="M58" s="26">
        <f>IF(AND(E58="",F58=""),"",N(E58)-N(F58))</f>
        <v/>
      </c>
      <c r="N58" s="28" t="n"/>
    </row>
    <row r="59">
      <c r="A59" s="27" t="n"/>
      <c r="B59" s="28" t="n"/>
      <c r="C59" s="28" t="n"/>
      <c r="D59" s="28" t="n"/>
      <c r="E59" s="29" t="n"/>
      <c r="F59" s="29" t="n"/>
      <c r="G59" s="28" t="n"/>
      <c r="H59" s="28" t="n"/>
      <c r="I59" s="28" t="n"/>
      <c r="J59" s="28" t="n"/>
      <c r="K59" s="24">
        <f>IF(D59="","",IFERROR(INDEX(Setup!$B$24:$B$59,MATCH(D59,Setup!$A$24:$A$59,0)),"Check category"))</f>
        <v/>
      </c>
      <c r="L59" s="25">
        <f>IF(A59="","",DATE(YEAR(A59),MONTH(A59),1))</f>
        <v/>
      </c>
      <c r="M59" s="26">
        <f>IF(AND(E59="",F59=""),"",N(E59)-N(F59))</f>
        <v/>
      </c>
      <c r="N59" s="28" t="n"/>
    </row>
    <row r="60">
      <c r="A60" s="27" t="n"/>
      <c r="B60" s="28" t="n"/>
      <c r="C60" s="28" t="n"/>
      <c r="D60" s="28" t="n"/>
      <c r="E60" s="29" t="n"/>
      <c r="F60" s="29" t="n"/>
      <c r="G60" s="28" t="n"/>
      <c r="H60" s="28" t="n"/>
      <c r="I60" s="28" t="n"/>
      <c r="J60" s="28" t="n"/>
      <c r="K60" s="24">
        <f>IF(D60="","",IFERROR(INDEX(Setup!$B$24:$B$59,MATCH(D60,Setup!$A$24:$A$59,0)),"Check category"))</f>
        <v/>
      </c>
      <c r="L60" s="25">
        <f>IF(A60="","",DATE(YEAR(A60),MONTH(A60),1))</f>
        <v/>
      </c>
      <c r="M60" s="26">
        <f>IF(AND(E60="",F60=""),"",N(E60)-N(F60))</f>
        <v/>
      </c>
      <c r="N60" s="28" t="n"/>
    </row>
    <row r="61">
      <c r="A61" s="27" t="n"/>
      <c r="B61" s="28" t="n"/>
      <c r="C61" s="28" t="n"/>
      <c r="D61" s="28" t="n"/>
      <c r="E61" s="29" t="n"/>
      <c r="F61" s="29" t="n"/>
      <c r="G61" s="28" t="n"/>
      <c r="H61" s="28" t="n"/>
      <c r="I61" s="28" t="n"/>
      <c r="J61" s="28" t="n"/>
      <c r="K61" s="24">
        <f>IF(D61="","",IFERROR(INDEX(Setup!$B$24:$B$59,MATCH(D61,Setup!$A$24:$A$59,0)),"Check category"))</f>
        <v/>
      </c>
      <c r="L61" s="25">
        <f>IF(A61="","",DATE(YEAR(A61),MONTH(A61),1))</f>
        <v/>
      </c>
      <c r="M61" s="26">
        <f>IF(AND(E61="",F61=""),"",N(E61)-N(F61))</f>
        <v/>
      </c>
      <c r="N61" s="28" t="n"/>
    </row>
    <row r="62">
      <c r="A62" s="27" t="n"/>
      <c r="B62" s="28" t="n"/>
      <c r="C62" s="28" t="n"/>
      <c r="D62" s="28" t="n"/>
      <c r="E62" s="29" t="n"/>
      <c r="F62" s="29" t="n"/>
      <c r="G62" s="28" t="n"/>
      <c r="H62" s="28" t="n"/>
      <c r="I62" s="28" t="n"/>
      <c r="J62" s="28" t="n"/>
      <c r="K62" s="24">
        <f>IF(D62="","",IFERROR(INDEX(Setup!$B$24:$B$59,MATCH(D62,Setup!$A$24:$A$59,0)),"Check category"))</f>
        <v/>
      </c>
      <c r="L62" s="25">
        <f>IF(A62="","",DATE(YEAR(A62),MONTH(A62),1))</f>
        <v/>
      </c>
      <c r="M62" s="26">
        <f>IF(AND(E62="",F62=""),"",N(E62)-N(F62))</f>
        <v/>
      </c>
      <c r="N62" s="28" t="n"/>
    </row>
    <row r="63">
      <c r="A63" s="27" t="n"/>
      <c r="B63" s="28" t="n"/>
      <c r="C63" s="28" t="n"/>
      <c r="D63" s="28" t="n"/>
      <c r="E63" s="29" t="n"/>
      <c r="F63" s="29" t="n"/>
      <c r="G63" s="28" t="n"/>
      <c r="H63" s="28" t="n"/>
      <c r="I63" s="28" t="n"/>
      <c r="J63" s="28" t="n"/>
      <c r="K63" s="24">
        <f>IF(D63="","",IFERROR(INDEX(Setup!$B$24:$B$59,MATCH(D63,Setup!$A$24:$A$59,0)),"Check category"))</f>
        <v/>
      </c>
      <c r="L63" s="25">
        <f>IF(A63="","",DATE(YEAR(A63),MONTH(A63),1))</f>
        <v/>
      </c>
      <c r="M63" s="26">
        <f>IF(AND(E63="",F63=""),"",N(E63)-N(F63))</f>
        <v/>
      </c>
      <c r="N63" s="28" t="n"/>
    </row>
    <row r="64">
      <c r="A64" s="27" t="n"/>
      <c r="B64" s="28" t="n"/>
      <c r="C64" s="28" t="n"/>
      <c r="D64" s="28" t="n"/>
      <c r="E64" s="29" t="n"/>
      <c r="F64" s="29" t="n"/>
      <c r="G64" s="28" t="n"/>
      <c r="H64" s="28" t="n"/>
      <c r="I64" s="28" t="n"/>
      <c r="J64" s="28" t="n"/>
      <c r="K64" s="24">
        <f>IF(D64="","",IFERROR(INDEX(Setup!$B$24:$B$59,MATCH(D64,Setup!$A$24:$A$59,0)),"Check category"))</f>
        <v/>
      </c>
      <c r="L64" s="25">
        <f>IF(A64="","",DATE(YEAR(A64),MONTH(A64),1))</f>
        <v/>
      </c>
      <c r="M64" s="26">
        <f>IF(AND(E64="",F64=""),"",N(E64)-N(F64))</f>
        <v/>
      </c>
      <c r="N64" s="28" t="n"/>
    </row>
    <row r="65">
      <c r="A65" s="27" t="n"/>
      <c r="B65" s="28" t="n"/>
      <c r="C65" s="28" t="n"/>
      <c r="D65" s="28" t="n"/>
      <c r="E65" s="29" t="n"/>
      <c r="F65" s="29" t="n"/>
      <c r="G65" s="28" t="n"/>
      <c r="H65" s="28" t="n"/>
      <c r="I65" s="28" t="n"/>
      <c r="J65" s="28" t="n"/>
      <c r="K65" s="24">
        <f>IF(D65="","",IFERROR(INDEX(Setup!$B$24:$B$59,MATCH(D65,Setup!$A$24:$A$59,0)),"Check category"))</f>
        <v/>
      </c>
      <c r="L65" s="25">
        <f>IF(A65="","",DATE(YEAR(A65),MONTH(A65),1))</f>
        <v/>
      </c>
      <c r="M65" s="26">
        <f>IF(AND(E65="",F65=""),"",N(E65)-N(F65))</f>
        <v/>
      </c>
      <c r="N65" s="28" t="n"/>
    </row>
    <row r="66">
      <c r="A66" s="27" t="n"/>
      <c r="B66" s="28" t="n"/>
      <c r="C66" s="28" t="n"/>
      <c r="D66" s="28" t="n"/>
      <c r="E66" s="29" t="n"/>
      <c r="F66" s="29" t="n"/>
      <c r="G66" s="28" t="n"/>
      <c r="H66" s="28" t="n"/>
      <c r="I66" s="28" t="n"/>
      <c r="J66" s="28" t="n"/>
      <c r="K66" s="24">
        <f>IF(D66="","",IFERROR(INDEX(Setup!$B$24:$B$59,MATCH(D66,Setup!$A$24:$A$59,0)),"Check category"))</f>
        <v/>
      </c>
      <c r="L66" s="25">
        <f>IF(A66="","",DATE(YEAR(A66),MONTH(A66),1))</f>
        <v/>
      </c>
      <c r="M66" s="26">
        <f>IF(AND(E66="",F66=""),"",N(E66)-N(F66))</f>
        <v/>
      </c>
      <c r="N66" s="28" t="n"/>
    </row>
    <row r="67">
      <c r="A67" s="27" t="n"/>
      <c r="B67" s="28" t="n"/>
      <c r="C67" s="28" t="n"/>
      <c r="D67" s="28" t="n"/>
      <c r="E67" s="29" t="n"/>
      <c r="F67" s="29" t="n"/>
      <c r="G67" s="28" t="n"/>
      <c r="H67" s="28" t="n"/>
      <c r="I67" s="28" t="n"/>
      <c r="J67" s="28" t="n"/>
      <c r="K67" s="24">
        <f>IF(D67="","",IFERROR(INDEX(Setup!$B$24:$B$59,MATCH(D67,Setup!$A$24:$A$59,0)),"Check category"))</f>
        <v/>
      </c>
      <c r="L67" s="25">
        <f>IF(A67="","",DATE(YEAR(A67),MONTH(A67),1))</f>
        <v/>
      </c>
      <c r="M67" s="26">
        <f>IF(AND(E67="",F67=""),"",N(E67)-N(F67))</f>
        <v/>
      </c>
      <c r="N67" s="28" t="n"/>
    </row>
    <row r="68">
      <c r="A68" s="27" t="n"/>
      <c r="B68" s="28" t="n"/>
      <c r="C68" s="28" t="n"/>
      <c r="D68" s="28" t="n"/>
      <c r="E68" s="29" t="n"/>
      <c r="F68" s="29" t="n"/>
      <c r="G68" s="28" t="n"/>
      <c r="H68" s="28" t="n"/>
      <c r="I68" s="28" t="n"/>
      <c r="J68" s="28" t="n"/>
      <c r="K68" s="24">
        <f>IF(D68="","",IFERROR(INDEX(Setup!$B$24:$B$59,MATCH(D68,Setup!$A$24:$A$59,0)),"Check category"))</f>
        <v/>
      </c>
      <c r="L68" s="25">
        <f>IF(A68="","",DATE(YEAR(A68),MONTH(A68),1))</f>
        <v/>
      </c>
      <c r="M68" s="26">
        <f>IF(AND(E68="",F68=""),"",N(E68)-N(F68))</f>
        <v/>
      </c>
      <c r="N68" s="28" t="n"/>
    </row>
    <row r="69">
      <c r="A69" s="27" t="n"/>
      <c r="B69" s="28" t="n"/>
      <c r="C69" s="28" t="n"/>
      <c r="D69" s="28" t="n"/>
      <c r="E69" s="29" t="n"/>
      <c r="F69" s="29" t="n"/>
      <c r="G69" s="28" t="n"/>
      <c r="H69" s="28" t="n"/>
      <c r="I69" s="28" t="n"/>
      <c r="J69" s="28" t="n"/>
      <c r="K69" s="24">
        <f>IF(D69="","",IFERROR(INDEX(Setup!$B$24:$B$59,MATCH(D69,Setup!$A$24:$A$59,0)),"Check category"))</f>
        <v/>
      </c>
      <c r="L69" s="25">
        <f>IF(A69="","",DATE(YEAR(A69),MONTH(A69),1))</f>
        <v/>
      </c>
      <c r="M69" s="26">
        <f>IF(AND(E69="",F69=""),"",N(E69)-N(F69))</f>
        <v/>
      </c>
      <c r="N69" s="28" t="n"/>
    </row>
    <row r="70">
      <c r="A70" s="27" t="n"/>
      <c r="B70" s="28" t="n"/>
      <c r="C70" s="28" t="n"/>
      <c r="D70" s="28" t="n"/>
      <c r="E70" s="29" t="n"/>
      <c r="F70" s="29" t="n"/>
      <c r="G70" s="28" t="n"/>
      <c r="H70" s="28" t="n"/>
      <c r="I70" s="28" t="n"/>
      <c r="J70" s="28" t="n"/>
      <c r="K70" s="24">
        <f>IF(D70="","",IFERROR(INDEX(Setup!$B$24:$B$59,MATCH(D70,Setup!$A$24:$A$59,0)),"Check category"))</f>
        <v/>
      </c>
      <c r="L70" s="25">
        <f>IF(A70="","",DATE(YEAR(A70),MONTH(A70),1))</f>
        <v/>
      </c>
      <c r="M70" s="26">
        <f>IF(AND(E70="",F70=""),"",N(E70)-N(F70))</f>
        <v/>
      </c>
      <c r="N70" s="28" t="n"/>
    </row>
    <row r="71">
      <c r="A71" s="27" t="n"/>
      <c r="B71" s="28" t="n"/>
      <c r="C71" s="28" t="n"/>
      <c r="D71" s="28" t="n"/>
      <c r="E71" s="29" t="n"/>
      <c r="F71" s="29" t="n"/>
      <c r="G71" s="28" t="n"/>
      <c r="H71" s="28" t="n"/>
      <c r="I71" s="28" t="n"/>
      <c r="J71" s="28" t="n"/>
      <c r="K71" s="24">
        <f>IF(D71="","",IFERROR(INDEX(Setup!$B$24:$B$59,MATCH(D71,Setup!$A$24:$A$59,0)),"Check category"))</f>
        <v/>
      </c>
      <c r="L71" s="25">
        <f>IF(A71="","",DATE(YEAR(A71),MONTH(A71),1))</f>
        <v/>
      </c>
      <c r="M71" s="26">
        <f>IF(AND(E71="",F71=""),"",N(E71)-N(F71))</f>
        <v/>
      </c>
      <c r="N71" s="28" t="n"/>
    </row>
    <row r="72">
      <c r="A72" s="27" t="n"/>
      <c r="B72" s="28" t="n"/>
      <c r="C72" s="28" t="n"/>
      <c r="D72" s="28" t="n"/>
      <c r="E72" s="29" t="n"/>
      <c r="F72" s="29" t="n"/>
      <c r="G72" s="28" t="n"/>
      <c r="H72" s="28" t="n"/>
      <c r="I72" s="28" t="n"/>
      <c r="J72" s="28" t="n"/>
      <c r="K72" s="24">
        <f>IF(D72="","",IFERROR(INDEX(Setup!$B$24:$B$59,MATCH(D72,Setup!$A$24:$A$59,0)),"Check category"))</f>
        <v/>
      </c>
      <c r="L72" s="25">
        <f>IF(A72="","",DATE(YEAR(A72),MONTH(A72),1))</f>
        <v/>
      </c>
      <c r="M72" s="26">
        <f>IF(AND(E72="",F72=""),"",N(E72)-N(F72))</f>
        <v/>
      </c>
      <c r="N72" s="28" t="n"/>
    </row>
    <row r="73">
      <c r="A73" s="27" t="n"/>
      <c r="B73" s="28" t="n"/>
      <c r="C73" s="28" t="n"/>
      <c r="D73" s="28" t="n"/>
      <c r="E73" s="29" t="n"/>
      <c r="F73" s="29" t="n"/>
      <c r="G73" s="28" t="n"/>
      <c r="H73" s="28" t="n"/>
      <c r="I73" s="28" t="n"/>
      <c r="J73" s="28" t="n"/>
      <c r="K73" s="24">
        <f>IF(D73="","",IFERROR(INDEX(Setup!$B$24:$B$59,MATCH(D73,Setup!$A$24:$A$59,0)),"Check category"))</f>
        <v/>
      </c>
      <c r="L73" s="25">
        <f>IF(A73="","",DATE(YEAR(A73),MONTH(A73),1))</f>
        <v/>
      </c>
      <c r="M73" s="26">
        <f>IF(AND(E73="",F73=""),"",N(E73)-N(F73))</f>
        <v/>
      </c>
      <c r="N73" s="28" t="n"/>
    </row>
    <row r="74">
      <c r="A74" s="27" t="n"/>
      <c r="B74" s="28" t="n"/>
      <c r="C74" s="28" t="n"/>
      <c r="D74" s="28" t="n"/>
      <c r="E74" s="29" t="n"/>
      <c r="F74" s="29" t="n"/>
      <c r="G74" s="28" t="n"/>
      <c r="H74" s="28" t="n"/>
      <c r="I74" s="28" t="n"/>
      <c r="J74" s="28" t="n"/>
      <c r="K74" s="24">
        <f>IF(D74="","",IFERROR(INDEX(Setup!$B$24:$B$59,MATCH(D74,Setup!$A$24:$A$59,0)),"Check category"))</f>
        <v/>
      </c>
      <c r="L74" s="25">
        <f>IF(A74="","",DATE(YEAR(A74),MONTH(A74),1))</f>
        <v/>
      </c>
      <c r="M74" s="26">
        <f>IF(AND(E74="",F74=""),"",N(E74)-N(F74))</f>
        <v/>
      </c>
      <c r="N74" s="28" t="n"/>
    </row>
    <row r="75">
      <c r="A75" s="27" t="n"/>
      <c r="B75" s="28" t="n"/>
      <c r="C75" s="28" t="n"/>
      <c r="D75" s="28" t="n"/>
      <c r="E75" s="29" t="n"/>
      <c r="F75" s="29" t="n"/>
      <c r="G75" s="28" t="n"/>
      <c r="H75" s="28" t="n"/>
      <c r="I75" s="28" t="n"/>
      <c r="J75" s="28" t="n"/>
      <c r="K75" s="24">
        <f>IF(D75="","",IFERROR(INDEX(Setup!$B$24:$B$59,MATCH(D75,Setup!$A$24:$A$59,0)),"Check category"))</f>
        <v/>
      </c>
      <c r="L75" s="25">
        <f>IF(A75="","",DATE(YEAR(A75),MONTH(A75),1))</f>
        <v/>
      </c>
      <c r="M75" s="26">
        <f>IF(AND(E75="",F75=""),"",N(E75)-N(F75))</f>
        <v/>
      </c>
      <c r="N75" s="28" t="n"/>
    </row>
    <row r="76">
      <c r="A76" s="27" t="n"/>
      <c r="B76" s="28" t="n"/>
      <c r="C76" s="28" t="n"/>
      <c r="D76" s="28" t="n"/>
      <c r="E76" s="29" t="n"/>
      <c r="F76" s="29" t="n"/>
      <c r="G76" s="28" t="n"/>
      <c r="H76" s="28" t="n"/>
      <c r="I76" s="28" t="n"/>
      <c r="J76" s="28" t="n"/>
      <c r="K76" s="24">
        <f>IF(D76="","",IFERROR(INDEX(Setup!$B$24:$B$59,MATCH(D76,Setup!$A$24:$A$59,0)),"Check category"))</f>
        <v/>
      </c>
      <c r="L76" s="25">
        <f>IF(A76="","",DATE(YEAR(A76),MONTH(A76),1))</f>
        <v/>
      </c>
      <c r="M76" s="26">
        <f>IF(AND(E76="",F76=""),"",N(E76)-N(F76))</f>
        <v/>
      </c>
      <c r="N76" s="28" t="n"/>
    </row>
    <row r="77">
      <c r="A77" s="27" t="n"/>
      <c r="B77" s="28" t="n"/>
      <c r="C77" s="28" t="n"/>
      <c r="D77" s="28" t="n"/>
      <c r="E77" s="29" t="n"/>
      <c r="F77" s="29" t="n"/>
      <c r="G77" s="28" t="n"/>
      <c r="H77" s="28" t="n"/>
      <c r="I77" s="28" t="n"/>
      <c r="J77" s="28" t="n"/>
      <c r="K77" s="24">
        <f>IF(D77="","",IFERROR(INDEX(Setup!$B$24:$B$59,MATCH(D77,Setup!$A$24:$A$59,0)),"Check category"))</f>
        <v/>
      </c>
      <c r="L77" s="25">
        <f>IF(A77="","",DATE(YEAR(A77),MONTH(A77),1))</f>
        <v/>
      </c>
      <c r="M77" s="26">
        <f>IF(AND(E77="",F77=""),"",N(E77)-N(F77))</f>
        <v/>
      </c>
      <c r="N77" s="28" t="n"/>
    </row>
    <row r="78">
      <c r="A78" s="27" t="n"/>
      <c r="B78" s="28" t="n"/>
      <c r="C78" s="28" t="n"/>
      <c r="D78" s="28" t="n"/>
      <c r="E78" s="29" t="n"/>
      <c r="F78" s="29" t="n"/>
      <c r="G78" s="28" t="n"/>
      <c r="H78" s="28" t="n"/>
      <c r="I78" s="28" t="n"/>
      <c r="J78" s="28" t="n"/>
      <c r="K78" s="24">
        <f>IF(D78="","",IFERROR(INDEX(Setup!$B$24:$B$59,MATCH(D78,Setup!$A$24:$A$59,0)),"Check category"))</f>
        <v/>
      </c>
      <c r="L78" s="25">
        <f>IF(A78="","",DATE(YEAR(A78),MONTH(A78),1))</f>
        <v/>
      </c>
      <c r="M78" s="26">
        <f>IF(AND(E78="",F78=""),"",N(E78)-N(F78))</f>
        <v/>
      </c>
      <c r="N78" s="28" t="n"/>
    </row>
    <row r="79">
      <c r="A79" s="27" t="n"/>
      <c r="B79" s="28" t="n"/>
      <c r="C79" s="28" t="n"/>
      <c r="D79" s="28" t="n"/>
      <c r="E79" s="29" t="n"/>
      <c r="F79" s="29" t="n"/>
      <c r="G79" s="28" t="n"/>
      <c r="H79" s="28" t="n"/>
      <c r="I79" s="28" t="n"/>
      <c r="J79" s="28" t="n"/>
      <c r="K79" s="24">
        <f>IF(D79="","",IFERROR(INDEX(Setup!$B$24:$B$59,MATCH(D79,Setup!$A$24:$A$59,0)),"Check category"))</f>
        <v/>
      </c>
      <c r="L79" s="25">
        <f>IF(A79="","",DATE(YEAR(A79),MONTH(A79),1))</f>
        <v/>
      </c>
      <c r="M79" s="26">
        <f>IF(AND(E79="",F79=""),"",N(E79)-N(F79))</f>
        <v/>
      </c>
      <c r="N79" s="28" t="n"/>
    </row>
    <row r="80">
      <c r="A80" s="27" t="n"/>
      <c r="B80" s="28" t="n"/>
      <c r="C80" s="28" t="n"/>
      <c r="D80" s="28" t="n"/>
      <c r="E80" s="29" t="n"/>
      <c r="F80" s="29" t="n"/>
      <c r="G80" s="28" t="n"/>
      <c r="H80" s="28" t="n"/>
      <c r="I80" s="28" t="n"/>
      <c r="J80" s="28" t="n"/>
      <c r="K80" s="24">
        <f>IF(D80="","",IFERROR(INDEX(Setup!$B$24:$B$59,MATCH(D80,Setup!$A$24:$A$59,0)),"Check category"))</f>
        <v/>
      </c>
      <c r="L80" s="25">
        <f>IF(A80="","",DATE(YEAR(A80),MONTH(A80),1))</f>
        <v/>
      </c>
      <c r="M80" s="26">
        <f>IF(AND(E80="",F80=""),"",N(E80)-N(F80))</f>
        <v/>
      </c>
      <c r="N80" s="28" t="n"/>
    </row>
    <row r="81">
      <c r="A81" s="27" t="n"/>
      <c r="B81" s="28" t="n"/>
      <c r="C81" s="28" t="n"/>
      <c r="D81" s="28" t="n"/>
      <c r="E81" s="29" t="n"/>
      <c r="F81" s="29" t="n"/>
      <c r="G81" s="28" t="n"/>
      <c r="H81" s="28" t="n"/>
      <c r="I81" s="28" t="n"/>
      <c r="J81" s="28" t="n"/>
      <c r="K81" s="24">
        <f>IF(D81="","",IFERROR(INDEX(Setup!$B$24:$B$59,MATCH(D81,Setup!$A$24:$A$59,0)),"Check category"))</f>
        <v/>
      </c>
      <c r="L81" s="25">
        <f>IF(A81="","",DATE(YEAR(A81),MONTH(A81),1))</f>
        <v/>
      </c>
      <c r="M81" s="26">
        <f>IF(AND(E81="",F81=""),"",N(E81)-N(F81))</f>
        <v/>
      </c>
      <c r="N81" s="28" t="n"/>
    </row>
    <row r="82">
      <c r="A82" s="27" t="n"/>
      <c r="B82" s="28" t="n"/>
      <c r="C82" s="28" t="n"/>
      <c r="D82" s="28" t="n"/>
      <c r="E82" s="29" t="n"/>
      <c r="F82" s="29" t="n"/>
      <c r="G82" s="28" t="n"/>
      <c r="H82" s="28" t="n"/>
      <c r="I82" s="28" t="n"/>
      <c r="J82" s="28" t="n"/>
      <c r="K82" s="24">
        <f>IF(D82="","",IFERROR(INDEX(Setup!$B$24:$B$59,MATCH(D82,Setup!$A$24:$A$59,0)),"Check category"))</f>
        <v/>
      </c>
      <c r="L82" s="25">
        <f>IF(A82="","",DATE(YEAR(A82),MONTH(A82),1))</f>
        <v/>
      </c>
      <c r="M82" s="26">
        <f>IF(AND(E82="",F82=""),"",N(E82)-N(F82))</f>
        <v/>
      </c>
      <c r="N82" s="28" t="n"/>
    </row>
    <row r="83">
      <c r="A83" s="27" t="n"/>
      <c r="B83" s="28" t="n"/>
      <c r="C83" s="28" t="n"/>
      <c r="D83" s="28" t="n"/>
      <c r="E83" s="29" t="n"/>
      <c r="F83" s="29" t="n"/>
      <c r="G83" s="28" t="n"/>
      <c r="H83" s="28" t="n"/>
      <c r="I83" s="28" t="n"/>
      <c r="J83" s="28" t="n"/>
      <c r="K83" s="24">
        <f>IF(D83="","",IFERROR(INDEX(Setup!$B$24:$B$59,MATCH(D83,Setup!$A$24:$A$59,0)),"Check category"))</f>
        <v/>
      </c>
      <c r="L83" s="25">
        <f>IF(A83="","",DATE(YEAR(A83),MONTH(A83),1))</f>
        <v/>
      </c>
      <c r="M83" s="26">
        <f>IF(AND(E83="",F83=""),"",N(E83)-N(F83))</f>
        <v/>
      </c>
      <c r="N83" s="28" t="n"/>
    </row>
    <row r="84">
      <c r="A84" s="27" t="n"/>
      <c r="B84" s="28" t="n"/>
      <c r="C84" s="28" t="n"/>
      <c r="D84" s="28" t="n"/>
      <c r="E84" s="29" t="n"/>
      <c r="F84" s="29" t="n"/>
      <c r="G84" s="28" t="n"/>
      <c r="H84" s="28" t="n"/>
      <c r="I84" s="28" t="n"/>
      <c r="J84" s="28" t="n"/>
      <c r="K84" s="24">
        <f>IF(D84="","",IFERROR(INDEX(Setup!$B$24:$B$59,MATCH(D84,Setup!$A$24:$A$59,0)),"Check category"))</f>
        <v/>
      </c>
      <c r="L84" s="25">
        <f>IF(A84="","",DATE(YEAR(A84),MONTH(A84),1))</f>
        <v/>
      </c>
      <c r="M84" s="26">
        <f>IF(AND(E84="",F84=""),"",N(E84)-N(F84))</f>
        <v/>
      </c>
      <c r="N84" s="28" t="n"/>
    </row>
    <row r="85">
      <c r="A85" s="27" t="n"/>
      <c r="B85" s="28" t="n"/>
      <c r="C85" s="28" t="n"/>
      <c r="D85" s="28" t="n"/>
      <c r="E85" s="29" t="n"/>
      <c r="F85" s="29" t="n"/>
      <c r="G85" s="28" t="n"/>
      <c r="H85" s="28" t="n"/>
      <c r="I85" s="28" t="n"/>
      <c r="J85" s="28" t="n"/>
      <c r="K85" s="24">
        <f>IF(D85="","",IFERROR(INDEX(Setup!$B$24:$B$59,MATCH(D85,Setup!$A$24:$A$59,0)),"Check category"))</f>
        <v/>
      </c>
      <c r="L85" s="25">
        <f>IF(A85="","",DATE(YEAR(A85),MONTH(A85),1))</f>
        <v/>
      </c>
      <c r="M85" s="26">
        <f>IF(AND(E85="",F85=""),"",N(E85)-N(F85))</f>
        <v/>
      </c>
      <c r="N85" s="28" t="n"/>
    </row>
    <row r="86">
      <c r="A86" s="27" t="n"/>
      <c r="B86" s="28" t="n"/>
      <c r="C86" s="28" t="n"/>
      <c r="D86" s="28" t="n"/>
      <c r="E86" s="29" t="n"/>
      <c r="F86" s="29" t="n"/>
      <c r="G86" s="28" t="n"/>
      <c r="H86" s="28" t="n"/>
      <c r="I86" s="28" t="n"/>
      <c r="J86" s="28" t="n"/>
      <c r="K86" s="24">
        <f>IF(D86="","",IFERROR(INDEX(Setup!$B$24:$B$59,MATCH(D86,Setup!$A$24:$A$59,0)),"Check category"))</f>
        <v/>
      </c>
      <c r="L86" s="25">
        <f>IF(A86="","",DATE(YEAR(A86),MONTH(A86),1))</f>
        <v/>
      </c>
      <c r="M86" s="26">
        <f>IF(AND(E86="",F86=""),"",N(E86)-N(F86))</f>
        <v/>
      </c>
      <c r="N86" s="28" t="n"/>
    </row>
    <row r="87">
      <c r="A87" s="27" t="n"/>
      <c r="B87" s="28" t="n"/>
      <c r="C87" s="28" t="n"/>
      <c r="D87" s="28" t="n"/>
      <c r="E87" s="29" t="n"/>
      <c r="F87" s="29" t="n"/>
      <c r="G87" s="28" t="n"/>
      <c r="H87" s="28" t="n"/>
      <c r="I87" s="28" t="n"/>
      <c r="J87" s="28" t="n"/>
      <c r="K87" s="24">
        <f>IF(D87="","",IFERROR(INDEX(Setup!$B$24:$B$59,MATCH(D87,Setup!$A$24:$A$59,0)),"Check category"))</f>
        <v/>
      </c>
      <c r="L87" s="25">
        <f>IF(A87="","",DATE(YEAR(A87),MONTH(A87),1))</f>
        <v/>
      </c>
      <c r="M87" s="26">
        <f>IF(AND(E87="",F87=""),"",N(E87)-N(F87))</f>
        <v/>
      </c>
      <c r="N87" s="28" t="n"/>
    </row>
    <row r="88">
      <c r="A88" s="27" t="n"/>
      <c r="B88" s="28" t="n"/>
      <c r="C88" s="28" t="n"/>
      <c r="D88" s="28" t="n"/>
      <c r="E88" s="29" t="n"/>
      <c r="F88" s="29" t="n"/>
      <c r="G88" s="28" t="n"/>
      <c r="H88" s="28" t="n"/>
      <c r="I88" s="28" t="n"/>
      <c r="J88" s="28" t="n"/>
      <c r="K88" s="24">
        <f>IF(D88="","",IFERROR(INDEX(Setup!$B$24:$B$59,MATCH(D88,Setup!$A$24:$A$59,0)),"Check category"))</f>
        <v/>
      </c>
      <c r="L88" s="25">
        <f>IF(A88="","",DATE(YEAR(A88),MONTH(A88),1))</f>
        <v/>
      </c>
      <c r="M88" s="26">
        <f>IF(AND(E88="",F88=""),"",N(E88)-N(F88))</f>
        <v/>
      </c>
      <c r="N88" s="28" t="n"/>
    </row>
    <row r="89">
      <c r="A89" s="27" t="n"/>
      <c r="B89" s="28" t="n"/>
      <c r="C89" s="28" t="n"/>
      <c r="D89" s="28" t="n"/>
      <c r="E89" s="29" t="n"/>
      <c r="F89" s="29" t="n"/>
      <c r="G89" s="28" t="n"/>
      <c r="H89" s="28" t="n"/>
      <c r="I89" s="28" t="n"/>
      <c r="J89" s="28" t="n"/>
      <c r="K89" s="24">
        <f>IF(D89="","",IFERROR(INDEX(Setup!$B$24:$B$59,MATCH(D89,Setup!$A$24:$A$59,0)),"Check category"))</f>
        <v/>
      </c>
      <c r="L89" s="25">
        <f>IF(A89="","",DATE(YEAR(A89),MONTH(A89),1))</f>
        <v/>
      </c>
      <c r="M89" s="26">
        <f>IF(AND(E89="",F89=""),"",N(E89)-N(F89))</f>
        <v/>
      </c>
      <c r="N89" s="28" t="n"/>
    </row>
    <row r="90">
      <c r="A90" s="27" t="n"/>
      <c r="B90" s="28" t="n"/>
      <c r="C90" s="28" t="n"/>
      <c r="D90" s="28" t="n"/>
      <c r="E90" s="29" t="n"/>
      <c r="F90" s="29" t="n"/>
      <c r="G90" s="28" t="n"/>
      <c r="H90" s="28" t="n"/>
      <c r="I90" s="28" t="n"/>
      <c r="J90" s="28" t="n"/>
      <c r="K90" s="24">
        <f>IF(D90="","",IFERROR(INDEX(Setup!$B$24:$B$59,MATCH(D90,Setup!$A$24:$A$59,0)),"Check category"))</f>
        <v/>
      </c>
      <c r="L90" s="25">
        <f>IF(A90="","",DATE(YEAR(A90),MONTH(A90),1))</f>
        <v/>
      </c>
      <c r="M90" s="26">
        <f>IF(AND(E90="",F90=""),"",N(E90)-N(F90))</f>
        <v/>
      </c>
      <c r="N90" s="28" t="n"/>
    </row>
    <row r="91">
      <c r="A91" s="27" t="n"/>
      <c r="B91" s="28" t="n"/>
      <c r="C91" s="28" t="n"/>
      <c r="D91" s="28" t="n"/>
      <c r="E91" s="29" t="n"/>
      <c r="F91" s="29" t="n"/>
      <c r="G91" s="28" t="n"/>
      <c r="H91" s="28" t="n"/>
      <c r="I91" s="28" t="n"/>
      <c r="J91" s="28" t="n"/>
      <c r="K91" s="24">
        <f>IF(D91="","",IFERROR(INDEX(Setup!$B$24:$B$59,MATCH(D91,Setup!$A$24:$A$59,0)),"Check category"))</f>
        <v/>
      </c>
      <c r="L91" s="25">
        <f>IF(A91="","",DATE(YEAR(A91),MONTH(A91),1))</f>
        <v/>
      </c>
      <c r="M91" s="26">
        <f>IF(AND(E91="",F91=""),"",N(E91)-N(F91))</f>
        <v/>
      </c>
      <c r="N91" s="28" t="n"/>
    </row>
    <row r="92">
      <c r="A92" s="27" t="n"/>
      <c r="B92" s="28" t="n"/>
      <c r="C92" s="28" t="n"/>
      <c r="D92" s="28" t="n"/>
      <c r="E92" s="29" t="n"/>
      <c r="F92" s="29" t="n"/>
      <c r="G92" s="28" t="n"/>
      <c r="H92" s="28" t="n"/>
      <c r="I92" s="28" t="n"/>
      <c r="J92" s="28" t="n"/>
      <c r="K92" s="24">
        <f>IF(D92="","",IFERROR(INDEX(Setup!$B$24:$B$59,MATCH(D92,Setup!$A$24:$A$59,0)),"Check category"))</f>
        <v/>
      </c>
      <c r="L92" s="25">
        <f>IF(A92="","",DATE(YEAR(A92),MONTH(A92),1))</f>
        <v/>
      </c>
      <c r="M92" s="26">
        <f>IF(AND(E92="",F92=""),"",N(E92)-N(F92))</f>
        <v/>
      </c>
      <c r="N92" s="28" t="n"/>
    </row>
    <row r="93">
      <c r="A93" s="27" t="n"/>
      <c r="B93" s="28" t="n"/>
      <c r="C93" s="28" t="n"/>
      <c r="D93" s="28" t="n"/>
      <c r="E93" s="29" t="n"/>
      <c r="F93" s="29" t="n"/>
      <c r="G93" s="28" t="n"/>
      <c r="H93" s="28" t="n"/>
      <c r="I93" s="28" t="n"/>
      <c r="J93" s="28" t="n"/>
      <c r="K93" s="24">
        <f>IF(D93="","",IFERROR(INDEX(Setup!$B$24:$B$59,MATCH(D93,Setup!$A$24:$A$59,0)),"Check category"))</f>
        <v/>
      </c>
      <c r="L93" s="25">
        <f>IF(A93="","",DATE(YEAR(A93),MONTH(A93),1))</f>
        <v/>
      </c>
      <c r="M93" s="26">
        <f>IF(AND(E93="",F93=""),"",N(E93)-N(F93))</f>
        <v/>
      </c>
      <c r="N93" s="28" t="n"/>
    </row>
    <row r="94">
      <c r="A94" s="27" t="n"/>
      <c r="B94" s="28" t="n"/>
      <c r="C94" s="28" t="n"/>
      <c r="D94" s="28" t="n"/>
      <c r="E94" s="29" t="n"/>
      <c r="F94" s="29" t="n"/>
      <c r="G94" s="28" t="n"/>
      <c r="H94" s="28" t="n"/>
      <c r="I94" s="28" t="n"/>
      <c r="J94" s="28" t="n"/>
      <c r="K94" s="24">
        <f>IF(D94="","",IFERROR(INDEX(Setup!$B$24:$B$59,MATCH(D94,Setup!$A$24:$A$59,0)),"Check category"))</f>
        <v/>
      </c>
      <c r="L94" s="25">
        <f>IF(A94="","",DATE(YEAR(A94),MONTH(A94),1))</f>
        <v/>
      </c>
      <c r="M94" s="26">
        <f>IF(AND(E94="",F94=""),"",N(E94)-N(F94))</f>
        <v/>
      </c>
      <c r="N94" s="28" t="n"/>
    </row>
    <row r="95">
      <c r="A95" s="27" t="n"/>
      <c r="B95" s="28" t="n"/>
      <c r="C95" s="28" t="n"/>
      <c r="D95" s="28" t="n"/>
      <c r="E95" s="29" t="n"/>
      <c r="F95" s="29" t="n"/>
      <c r="G95" s="28" t="n"/>
      <c r="H95" s="28" t="n"/>
      <c r="I95" s="28" t="n"/>
      <c r="J95" s="28" t="n"/>
      <c r="K95" s="24">
        <f>IF(D95="","",IFERROR(INDEX(Setup!$B$24:$B$59,MATCH(D95,Setup!$A$24:$A$59,0)),"Check category"))</f>
        <v/>
      </c>
      <c r="L95" s="25">
        <f>IF(A95="","",DATE(YEAR(A95),MONTH(A95),1))</f>
        <v/>
      </c>
      <c r="M95" s="26">
        <f>IF(AND(E95="",F95=""),"",N(E95)-N(F95))</f>
        <v/>
      </c>
      <c r="N95" s="28" t="n"/>
    </row>
    <row r="96">
      <c r="A96" s="27" t="n"/>
      <c r="B96" s="28" t="n"/>
      <c r="C96" s="28" t="n"/>
      <c r="D96" s="28" t="n"/>
      <c r="E96" s="29" t="n"/>
      <c r="F96" s="29" t="n"/>
      <c r="G96" s="28" t="n"/>
      <c r="H96" s="28" t="n"/>
      <c r="I96" s="28" t="n"/>
      <c r="J96" s="28" t="n"/>
      <c r="K96" s="24">
        <f>IF(D96="","",IFERROR(INDEX(Setup!$B$24:$B$59,MATCH(D96,Setup!$A$24:$A$59,0)),"Check category"))</f>
        <v/>
      </c>
      <c r="L96" s="25">
        <f>IF(A96="","",DATE(YEAR(A96),MONTH(A96),1))</f>
        <v/>
      </c>
      <c r="M96" s="26">
        <f>IF(AND(E96="",F96=""),"",N(E96)-N(F96))</f>
        <v/>
      </c>
      <c r="N96" s="28" t="n"/>
    </row>
    <row r="97">
      <c r="A97" s="27" t="n"/>
      <c r="B97" s="28" t="n"/>
      <c r="C97" s="28" t="n"/>
      <c r="D97" s="28" t="n"/>
      <c r="E97" s="29" t="n"/>
      <c r="F97" s="29" t="n"/>
      <c r="G97" s="28" t="n"/>
      <c r="H97" s="28" t="n"/>
      <c r="I97" s="28" t="n"/>
      <c r="J97" s="28" t="n"/>
      <c r="K97" s="24">
        <f>IF(D97="","",IFERROR(INDEX(Setup!$B$24:$B$59,MATCH(D97,Setup!$A$24:$A$59,0)),"Check category"))</f>
        <v/>
      </c>
      <c r="L97" s="25">
        <f>IF(A97="","",DATE(YEAR(A97),MONTH(A97),1))</f>
        <v/>
      </c>
      <c r="M97" s="26">
        <f>IF(AND(E97="",F97=""),"",N(E97)-N(F97))</f>
        <v/>
      </c>
      <c r="N97" s="28" t="n"/>
    </row>
    <row r="98">
      <c r="A98" s="27" t="n"/>
      <c r="B98" s="28" t="n"/>
      <c r="C98" s="28" t="n"/>
      <c r="D98" s="28" t="n"/>
      <c r="E98" s="29" t="n"/>
      <c r="F98" s="29" t="n"/>
      <c r="G98" s="28" t="n"/>
      <c r="H98" s="28" t="n"/>
      <c r="I98" s="28" t="n"/>
      <c r="J98" s="28" t="n"/>
      <c r="K98" s="24">
        <f>IF(D98="","",IFERROR(INDEX(Setup!$B$24:$B$59,MATCH(D98,Setup!$A$24:$A$59,0)),"Check category"))</f>
        <v/>
      </c>
      <c r="L98" s="25">
        <f>IF(A98="","",DATE(YEAR(A98),MONTH(A98),1))</f>
        <v/>
      </c>
      <c r="M98" s="26">
        <f>IF(AND(E98="",F98=""),"",N(E98)-N(F98))</f>
        <v/>
      </c>
      <c r="N98" s="28" t="n"/>
    </row>
    <row r="99">
      <c r="A99" s="27" t="n"/>
      <c r="B99" s="28" t="n"/>
      <c r="C99" s="28" t="n"/>
      <c r="D99" s="28" t="n"/>
      <c r="E99" s="29" t="n"/>
      <c r="F99" s="29" t="n"/>
      <c r="G99" s="28" t="n"/>
      <c r="H99" s="28" t="n"/>
      <c r="I99" s="28" t="n"/>
      <c r="J99" s="28" t="n"/>
      <c r="K99" s="24">
        <f>IF(D99="","",IFERROR(INDEX(Setup!$B$24:$B$59,MATCH(D99,Setup!$A$24:$A$59,0)),"Check category"))</f>
        <v/>
      </c>
      <c r="L99" s="25">
        <f>IF(A99="","",DATE(YEAR(A99),MONTH(A99),1))</f>
        <v/>
      </c>
      <c r="M99" s="26">
        <f>IF(AND(E99="",F99=""),"",N(E99)-N(F99))</f>
        <v/>
      </c>
      <c r="N99" s="28" t="n"/>
    </row>
    <row r="100">
      <c r="A100" s="27" t="n"/>
      <c r="B100" s="28" t="n"/>
      <c r="C100" s="28" t="n"/>
      <c r="D100" s="28" t="n"/>
      <c r="E100" s="29" t="n"/>
      <c r="F100" s="29" t="n"/>
      <c r="G100" s="28" t="n"/>
      <c r="H100" s="28" t="n"/>
      <c r="I100" s="28" t="n"/>
      <c r="J100" s="28" t="n"/>
      <c r="K100" s="24">
        <f>IF(D100="","",IFERROR(INDEX(Setup!$B$24:$B$59,MATCH(D100,Setup!$A$24:$A$59,0)),"Check category"))</f>
        <v/>
      </c>
      <c r="L100" s="25">
        <f>IF(A100="","",DATE(YEAR(A100),MONTH(A100),1))</f>
        <v/>
      </c>
      <c r="M100" s="26">
        <f>IF(AND(E100="",F100=""),"",N(E100)-N(F100))</f>
        <v/>
      </c>
      <c r="N100" s="28" t="n"/>
    </row>
    <row r="101">
      <c r="A101" s="27" t="n"/>
      <c r="B101" s="28" t="n"/>
      <c r="C101" s="28" t="n"/>
      <c r="D101" s="28" t="n"/>
      <c r="E101" s="29" t="n"/>
      <c r="F101" s="29" t="n"/>
      <c r="G101" s="28" t="n"/>
      <c r="H101" s="28" t="n"/>
      <c r="I101" s="28" t="n"/>
      <c r="J101" s="28" t="n"/>
      <c r="K101" s="24">
        <f>IF(D101="","",IFERROR(INDEX(Setup!$B$24:$B$59,MATCH(D101,Setup!$A$24:$A$59,0)),"Check category"))</f>
        <v/>
      </c>
      <c r="L101" s="25">
        <f>IF(A101="","",DATE(YEAR(A101),MONTH(A101),1))</f>
        <v/>
      </c>
      <c r="M101" s="26">
        <f>IF(AND(E101="",F101=""),"",N(E101)-N(F101))</f>
        <v/>
      </c>
      <c r="N101" s="28" t="n"/>
    </row>
    <row r="102">
      <c r="A102" s="27" t="n"/>
      <c r="B102" s="28" t="n"/>
      <c r="C102" s="28" t="n"/>
      <c r="D102" s="28" t="n"/>
      <c r="E102" s="29" t="n"/>
      <c r="F102" s="29" t="n"/>
      <c r="G102" s="28" t="n"/>
      <c r="H102" s="28" t="n"/>
      <c r="I102" s="28" t="n"/>
      <c r="J102" s="28" t="n"/>
      <c r="K102" s="24">
        <f>IF(D102="","",IFERROR(INDEX(Setup!$B$24:$B$59,MATCH(D102,Setup!$A$24:$A$59,0)),"Check category"))</f>
        <v/>
      </c>
      <c r="L102" s="25">
        <f>IF(A102="","",DATE(YEAR(A102),MONTH(A102),1))</f>
        <v/>
      </c>
      <c r="M102" s="26">
        <f>IF(AND(E102="",F102=""),"",N(E102)-N(F102))</f>
        <v/>
      </c>
      <c r="N102" s="28" t="n"/>
    </row>
    <row r="103">
      <c r="A103" s="27" t="n"/>
      <c r="B103" s="28" t="n"/>
      <c r="C103" s="28" t="n"/>
      <c r="D103" s="28" t="n"/>
      <c r="E103" s="29" t="n"/>
      <c r="F103" s="29" t="n"/>
      <c r="G103" s="28" t="n"/>
      <c r="H103" s="28" t="n"/>
      <c r="I103" s="28" t="n"/>
      <c r="J103" s="28" t="n"/>
      <c r="K103" s="24">
        <f>IF(D103="","",IFERROR(INDEX(Setup!$B$24:$B$59,MATCH(D103,Setup!$A$24:$A$59,0)),"Check category"))</f>
        <v/>
      </c>
      <c r="L103" s="25">
        <f>IF(A103="","",DATE(YEAR(A103),MONTH(A103),1))</f>
        <v/>
      </c>
      <c r="M103" s="26">
        <f>IF(AND(E103="",F103=""),"",N(E103)-N(F103))</f>
        <v/>
      </c>
      <c r="N103" s="28" t="n"/>
    </row>
    <row r="104">
      <c r="A104" s="27" t="n"/>
      <c r="B104" s="28" t="n"/>
      <c r="C104" s="28" t="n"/>
      <c r="D104" s="28" t="n"/>
      <c r="E104" s="29" t="n"/>
      <c r="F104" s="29" t="n"/>
      <c r="G104" s="28" t="n"/>
      <c r="H104" s="28" t="n"/>
      <c r="I104" s="28" t="n"/>
      <c r="J104" s="28" t="n"/>
      <c r="K104" s="24">
        <f>IF(D104="","",IFERROR(INDEX(Setup!$B$24:$B$59,MATCH(D104,Setup!$A$24:$A$59,0)),"Check category"))</f>
        <v/>
      </c>
      <c r="L104" s="25">
        <f>IF(A104="","",DATE(YEAR(A104),MONTH(A104),1))</f>
        <v/>
      </c>
      <c r="M104" s="26">
        <f>IF(AND(E104="",F104=""),"",N(E104)-N(F104))</f>
        <v/>
      </c>
      <c r="N104" s="28" t="n"/>
    </row>
    <row r="105">
      <c r="A105" s="27" t="n"/>
      <c r="B105" s="28" t="n"/>
      <c r="C105" s="28" t="n"/>
      <c r="D105" s="28" t="n"/>
      <c r="E105" s="29" t="n"/>
      <c r="F105" s="29" t="n"/>
      <c r="G105" s="28" t="n"/>
      <c r="H105" s="28" t="n"/>
      <c r="I105" s="28" t="n"/>
      <c r="J105" s="28" t="n"/>
      <c r="K105" s="24">
        <f>IF(D105="","",IFERROR(INDEX(Setup!$B$24:$B$59,MATCH(D105,Setup!$A$24:$A$59,0)),"Check category"))</f>
        <v/>
      </c>
      <c r="L105" s="25">
        <f>IF(A105="","",DATE(YEAR(A105),MONTH(A105),1))</f>
        <v/>
      </c>
      <c r="M105" s="26">
        <f>IF(AND(E105="",F105=""),"",N(E105)-N(F105))</f>
        <v/>
      </c>
      <c r="N105" s="28" t="n"/>
    </row>
    <row r="106">
      <c r="A106" s="27" t="n"/>
      <c r="B106" s="28" t="n"/>
      <c r="C106" s="28" t="n"/>
      <c r="D106" s="28" t="n"/>
      <c r="E106" s="29" t="n"/>
      <c r="F106" s="29" t="n"/>
      <c r="G106" s="28" t="n"/>
      <c r="H106" s="28" t="n"/>
      <c r="I106" s="28" t="n"/>
      <c r="J106" s="28" t="n"/>
      <c r="K106" s="24">
        <f>IF(D106="","",IFERROR(INDEX(Setup!$B$24:$B$59,MATCH(D106,Setup!$A$24:$A$59,0)),"Check category"))</f>
        <v/>
      </c>
      <c r="L106" s="25">
        <f>IF(A106="","",DATE(YEAR(A106),MONTH(A106),1))</f>
        <v/>
      </c>
      <c r="M106" s="26">
        <f>IF(AND(E106="",F106=""),"",N(E106)-N(F106))</f>
        <v/>
      </c>
      <c r="N106" s="28" t="n"/>
    </row>
    <row r="107">
      <c r="A107" s="27" t="n"/>
      <c r="B107" s="28" t="n"/>
      <c r="C107" s="28" t="n"/>
      <c r="D107" s="28" t="n"/>
      <c r="E107" s="29" t="n"/>
      <c r="F107" s="29" t="n"/>
      <c r="G107" s="28" t="n"/>
      <c r="H107" s="28" t="n"/>
      <c r="I107" s="28" t="n"/>
      <c r="J107" s="28" t="n"/>
      <c r="K107" s="24">
        <f>IF(D107="","",IFERROR(INDEX(Setup!$B$24:$B$59,MATCH(D107,Setup!$A$24:$A$59,0)),"Check category"))</f>
        <v/>
      </c>
      <c r="L107" s="25">
        <f>IF(A107="","",DATE(YEAR(A107),MONTH(A107),1))</f>
        <v/>
      </c>
      <c r="M107" s="26">
        <f>IF(AND(E107="",F107=""),"",N(E107)-N(F107))</f>
        <v/>
      </c>
      <c r="N107" s="28" t="n"/>
    </row>
    <row r="108">
      <c r="A108" s="27" t="n"/>
      <c r="B108" s="28" t="n"/>
      <c r="C108" s="28" t="n"/>
      <c r="D108" s="28" t="n"/>
      <c r="E108" s="29" t="n"/>
      <c r="F108" s="29" t="n"/>
      <c r="G108" s="28" t="n"/>
      <c r="H108" s="28" t="n"/>
      <c r="I108" s="28" t="n"/>
      <c r="J108" s="28" t="n"/>
      <c r="K108" s="24">
        <f>IF(D108="","",IFERROR(INDEX(Setup!$B$24:$B$59,MATCH(D108,Setup!$A$24:$A$59,0)),"Check category"))</f>
        <v/>
      </c>
      <c r="L108" s="25">
        <f>IF(A108="","",DATE(YEAR(A108),MONTH(A108),1))</f>
        <v/>
      </c>
      <c r="M108" s="26">
        <f>IF(AND(E108="",F108=""),"",N(E108)-N(F108))</f>
        <v/>
      </c>
      <c r="N108" s="28" t="n"/>
    </row>
    <row r="109">
      <c r="A109" s="27" t="n"/>
      <c r="B109" s="28" t="n"/>
      <c r="C109" s="28" t="n"/>
      <c r="D109" s="28" t="n"/>
      <c r="E109" s="29" t="n"/>
      <c r="F109" s="29" t="n"/>
      <c r="G109" s="28" t="n"/>
      <c r="H109" s="28" t="n"/>
      <c r="I109" s="28" t="n"/>
      <c r="J109" s="28" t="n"/>
      <c r="K109" s="24">
        <f>IF(D109="","",IFERROR(INDEX(Setup!$B$24:$B$59,MATCH(D109,Setup!$A$24:$A$59,0)),"Check category"))</f>
        <v/>
      </c>
      <c r="L109" s="25">
        <f>IF(A109="","",DATE(YEAR(A109),MONTH(A109),1))</f>
        <v/>
      </c>
      <c r="M109" s="26">
        <f>IF(AND(E109="",F109=""),"",N(E109)-N(F109))</f>
        <v/>
      </c>
      <c r="N109" s="28" t="n"/>
    </row>
    <row r="110">
      <c r="A110" s="27" t="n"/>
      <c r="B110" s="28" t="n"/>
      <c r="C110" s="28" t="n"/>
      <c r="D110" s="28" t="n"/>
      <c r="E110" s="29" t="n"/>
      <c r="F110" s="29" t="n"/>
      <c r="G110" s="28" t="n"/>
      <c r="H110" s="28" t="n"/>
      <c r="I110" s="28" t="n"/>
      <c r="J110" s="28" t="n"/>
      <c r="K110" s="24">
        <f>IF(D110="","",IFERROR(INDEX(Setup!$B$24:$B$59,MATCH(D110,Setup!$A$24:$A$59,0)),"Check category"))</f>
        <v/>
      </c>
      <c r="L110" s="25">
        <f>IF(A110="","",DATE(YEAR(A110),MONTH(A110),1))</f>
        <v/>
      </c>
      <c r="M110" s="26">
        <f>IF(AND(E110="",F110=""),"",N(E110)-N(F110))</f>
        <v/>
      </c>
      <c r="N110" s="28" t="n"/>
    </row>
    <row r="111">
      <c r="A111" s="27" t="n"/>
      <c r="B111" s="28" t="n"/>
      <c r="C111" s="28" t="n"/>
      <c r="D111" s="28" t="n"/>
      <c r="E111" s="29" t="n"/>
      <c r="F111" s="29" t="n"/>
      <c r="G111" s="28" t="n"/>
      <c r="H111" s="28" t="n"/>
      <c r="I111" s="28" t="n"/>
      <c r="J111" s="28" t="n"/>
      <c r="K111" s="24">
        <f>IF(D111="","",IFERROR(INDEX(Setup!$B$24:$B$59,MATCH(D111,Setup!$A$24:$A$59,0)),"Check category"))</f>
        <v/>
      </c>
      <c r="L111" s="25">
        <f>IF(A111="","",DATE(YEAR(A111),MONTH(A111),1))</f>
        <v/>
      </c>
      <c r="M111" s="26">
        <f>IF(AND(E111="",F111=""),"",N(E111)-N(F111))</f>
        <v/>
      </c>
      <c r="N111" s="28" t="n"/>
    </row>
    <row r="112">
      <c r="A112" s="27" t="n"/>
      <c r="B112" s="28" t="n"/>
      <c r="C112" s="28" t="n"/>
      <c r="D112" s="28" t="n"/>
      <c r="E112" s="29" t="n"/>
      <c r="F112" s="29" t="n"/>
      <c r="G112" s="28" t="n"/>
      <c r="H112" s="28" t="n"/>
      <c r="I112" s="28" t="n"/>
      <c r="J112" s="28" t="n"/>
      <c r="K112" s="24">
        <f>IF(D112="","",IFERROR(INDEX(Setup!$B$24:$B$59,MATCH(D112,Setup!$A$24:$A$59,0)),"Check category"))</f>
        <v/>
      </c>
      <c r="L112" s="25">
        <f>IF(A112="","",DATE(YEAR(A112),MONTH(A112),1))</f>
        <v/>
      </c>
      <c r="M112" s="26">
        <f>IF(AND(E112="",F112=""),"",N(E112)-N(F112))</f>
        <v/>
      </c>
      <c r="N112" s="28" t="n"/>
    </row>
    <row r="113">
      <c r="A113" s="27" t="n"/>
      <c r="B113" s="28" t="n"/>
      <c r="C113" s="28" t="n"/>
      <c r="D113" s="28" t="n"/>
      <c r="E113" s="29" t="n"/>
      <c r="F113" s="29" t="n"/>
      <c r="G113" s="28" t="n"/>
      <c r="H113" s="28" t="n"/>
      <c r="I113" s="28" t="n"/>
      <c r="J113" s="28" t="n"/>
      <c r="K113" s="24">
        <f>IF(D113="","",IFERROR(INDEX(Setup!$B$24:$B$59,MATCH(D113,Setup!$A$24:$A$59,0)),"Check category"))</f>
        <v/>
      </c>
      <c r="L113" s="25">
        <f>IF(A113="","",DATE(YEAR(A113),MONTH(A113),1))</f>
        <v/>
      </c>
      <c r="M113" s="26">
        <f>IF(AND(E113="",F113=""),"",N(E113)-N(F113))</f>
        <v/>
      </c>
      <c r="N113" s="28" t="n"/>
    </row>
    <row r="114">
      <c r="A114" s="27" t="n"/>
      <c r="B114" s="28" t="n"/>
      <c r="C114" s="28" t="n"/>
      <c r="D114" s="28" t="n"/>
      <c r="E114" s="29" t="n"/>
      <c r="F114" s="29" t="n"/>
      <c r="G114" s="28" t="n"/>
      <c r="H114" s="28" t="n"/>
      <c r="I114" s="28" t="n"/>
      <c r="J114" s="28" t="n"/>
      <c r="K114" s="24">
        <f>IF(D114="","",IFERROR(INDEX(Setup!$B$24:$B$59,MATCH(D114,Setup!$A$24:$A$59,0)),"Check category"))</f>
        <v/>
      </c>
      <c r="L114" s="25">
        <f>IF(A114="","",DATE(YEAR(A114),MONTH(A114),1))</f>
        <v/>
      </c>
      <c r="M114" s="26">
        <f>IF(AND(E114="",F114=""),"",N(E114)-N(F114))</f>
        <v/>
      </c>
      <c r="N114" s="28" t="n"/>
    </row>
    <row r="115">
      <c r="A115" s="27" t="n"/>
      <c r="B115" s="28" t="n"/>
      <c r="C115" s="28" t="n"/>
      <c r="D115" s="28" t="n"/>
      <c r="E115" s="29" t="n"/>
      <c r="F115" s="29" t="n"/>
      <c r="G115" s="28" t="n"/>
      <c r="H115" s="28" t="n"/>
      <c r="I115" s="28" t="n"/>
      <c r="J115" s="28" t="n"/>
      <c r="K115" s="24">
        <f>IF(D115="","",IFERROR(INDEX(Setup!$B$24:$B$59,MATCH(D115,Setup!$A$24:$A$59,0)),"Check category"))</f>
        <v/>
      </c>
      <c r="L115" s="25">
        <f>IF(A115="","",DATE(YEAR(A115),MONTH(A115),1))</f>
        <v/>
      </c>
      <c r="M115" s="26">
        <f>IF(AND(E115="",F115=""),"",N(E115)-N(F115))</f>
        <v/>
      </c>
      <c r="N115" s="28" t="n"/>
    </row>
    <row r="116">
      <c r="A116" s="27" t="n"/>
      <c r="B116" s="28" t="n"/>
      <c r="C116" s="28" t="n"/>
      <c r="D116" s="28" t="n"/>
      <c r="E116" s="29" t="n"/>
      <c r="F116" s="29" t="n"/>
      <c r="G116" s="28" t="n"/>
      <c r="H116" s="28" t="n"/>
      <c r="I116" s="28" t="n"/>
      <c r="J116" s="28" t="n"/>
      <c r="K116" s="24">
        <f>IF(D116="","",IFERROR(INDEX(Setup!$B$24:$B$59,MATCH(D116,Setup!$A$24:$A$59,0)),"Check category"))</f>
        <v/>
      </c>
      <c r="L116" s="25">
        <f>IF(A116="","",DATE(YEAR(A116),MONTH(A116),1))</f>
        <v/>
      </c>
      <c r="M116" s="26">
        <f>IF(AND(E116="",F116=""),"",N(E116)-N(F116))</f>
        <v/>
      </c>
      <c r="N116" s="28" t="n"/>
    </row>
    <row r="117">
      <c r="A117" s="27" t="n"/>
      <c r="B117" s="28" t="n"/>
      <c r="C117" s="28" t="n"/>
      <c r="D117" s="28" t="n"/>
      <c r="E117" s="29" t="n"/>
      <c r="F117" s="29" t="n"/>
      <c r="G117" s="28" t="n"/>
      <c r="H117" s="28" t="n"/>
      <c r="I117" s="28" t="n"/>
      <c r="J117" s="28" t="n"/>
      <c r="K117" s="24">
        <f>IF(D117="","",IFERROR(INDEX(Setup!$B$24:$B$59,MATCH(D117,Setup!$A$24:$A$59,0)),"Check category"))</f>
        <v/>
      </c>
      <c r="L117" s="25">
        <f>IF(A117="","",DATE(YEAR(A117),MONTH(A117),1))</f>
        <v/>
      </c>
      <c r="M117" s="26">
        <f>IF(AND(E117="",F117=""),"",N(E117)-N(F117))</f>
        <v/>
      </c>
      <c r="N117" s="28" t="n"/>
    </row>
    <row r="118">
      <c r="A118" s="27" t="n"/>
      <c r="B118" s="28" t="n"/>
      <c r="C118" s="28" t="n"/>
      <c r="D118" s="28" t="n"/>
      <c r="E118" s="29" t="n"/>
      <c r="F118" s="29" t="n"/>
      <c r="G118" s="28" t="n"/>
      <c r="H118" s="28" t="n"/>
      <c r="I118" s="28" t="n"/>
      <c r="J118" s="28" t="n"/>
      <c r="K118" s="24">
        <f>IF(D118="","",IFERROR(INDEX(Setup!$B$24:$B$59,MATCH(D118,Setup!$A$24:$A$59,0)),"Check category"))</f>
        <v/>
      </c>
      <c r="L118" s="25">
        <f>IF(A118="","",DATE(YEAR(A118),MONTH(A118),1))</f>
        <v/>
      </c>
      <c r="M118" s="26">
        <f>IF(AND(E118="",F118=""),"",N(E118)-N(F118))</f>
        <v/>
      </c>
      <c r="N118" s="28" t="n"/>
    </row>
    <row r="119">
      <c r="A119" s="27" t="n"/>
      <c r="B119" s="28" t="n"/>
      <c r="C119" s="28" t="n"/>
      <c r="D119" s="28" t="n"/>
      <c r="E119" s="29" t="n"/>
      <c r="F119" s="29" t="n"/>
      <c r="G119" s="28" t="n"/>
      <c r="H119" s="28" t="n"/>
      <c r="I119" s="28" t="n"/>
      <c r="J119" s="28" t="n"/>
      <c r="K119" s="24">
        <f>IF(D119="","",IFERROR(INDEX(Setup!$B$24:$B$59,MATCH(D119,Setup!$A$24:$A$59,0)),"Check category"))</f>
        <v/>
      </c>
      <c r="L119" s="25">
        <f>IF(A119="","",DATE(YEAR(A119),MONTH(A119),1))</f>
        <v/>
      </c>
      <c r="M119" s="26">
        <f>IF(AND(E119="",F119=""),"",N(E119)-N(F119))</f>
        <v/>
      </c>
      <c r="N119" s="28" t="n"/>
    </row>
    <row r="120">
      <c r="A120" s="27" t="n"/>
      <c r="B120" s="28" t="n"/>
      <c r="C120" s="28" t="n"/>
      <c r="D120" s="28" t="n"/>
      <c r="E120" s="29" t="n"/>
      <c r="F120" s="29" t="n"/>
      <c r="G120" s="28" t="n"/>
      <c r="H120" s="28" t="n"/>
      <c r="I120" s="28" t="n"/>
      <c r="J120" s="28" t="n"/>
      <c r="K120" s="24">
        <f>IF(D120="","",IFERROR(INDEX(Setup!$B$24:$B$59,MATCH(D120,Setup!$A$24:$A$59,0)),"Check category"))</f>
        <v/>
      </c>
      <c r="L120" s="25">
        <f>IF(A120="","",DATE(YEAR(A120),MONTH(A120),1))</f>
        <v/>
      </c>
      <c r="M120" s="26">
        <f>IF(AND(E120="",F120=""),"",N(E120)-N(F120))</f>
        <v/>
      </c>
      <c r="N120" s="28" t="n"/>
    </row>
    <row r="121">
      <c r="A121" s="27" t="n"/>
      <c r="B121" s="28" t="n"/>
      <c r="C121" s="28" t="n"/>
      <c r="D121" s="28" t="n"/>
      <c r="E121" s="29" t="n"/>
      <c r="F121" s="29" t="n"/>
      <c r="G121" s="28" t="n"/>
      <c r="H121" s="28" t="n"/>
      <c r="I121" s="28" t="n"/>
      <c r="J121" s="28" t="n"/>
      <c r="K121" s="24">
        <f>IF(D121="","",IFERROR(INDEX(Setup!$B$24:$B$59,MATCH(D121,Setup!$A$24:$A$59,0)),"Check category"))</f>
        <v/>
      </c>
      <c r="L121" s="25">
        <f>IF(A121="","",DATE(YEAR(A121),MONTH(A121),1))</f>
        <v/>
      </c>
      <c r="M121" s="26">
        <f>IF(AND(E121="",F121=""),"",N(E121)-N(F121))</f>
        <v/>
      </c>
      <c r="N121" s="28" t="n"/>
    </row>
    <row r="122">
      <c r="A122" s="27" t="n"/>
      <c r="B122" s="28" t="n"/>
      <c r="C122" s="28" t="n"/>
      <c r="D122" s="28" t="n"/>
      <c r="E122" s="29" t="n"/>
      <c r="F122" s="29" t="n"/>
      <c r="G122" s="28" t="n"/>
      <c r="H122" s="28" t="n"/>
      <c r="I122" s="28" t="n"/>
      <c r="J122" s="28" t="n"/>
      <c r="K122" s="24">
        <f>IF(D122="","",IFERROR(INDEX(Setup!$B$24:$B$59,MATCH(D122,Setup!$A$24:$A$59,0)),"Check category"))</f>
        <v/>
      </c>
      <c r="L122" s="25">
        <f>IF(A122="","",DATE(YEAR(A122),MONTH(A122),1))</f>
        <v/>
      </c>
      <c r="M122" s="26">
        <f>IF(AND(E122="",F122=""),"",N(E122)-N(F122))</f>
        <v/>
      </c>
      <c r="N122" s="28" t="n"/>
    </row>
    <row r="123">
      <c r="A123" s="27" t="n"/>
      <c r="B123" s="28" t="n"/>
      <c r="C123" s="28" t="n"/>
      <c r="D123" s="28" t="n"/>
      <c r="E123" s="29" t="n"/>
      <c r="F123" s="29" t="n"/>
      <c r="G123" s="28" t="n"/>
      <c r="H123" s="28" t="n"/>
      <c r="I123" s="28" t="n"/>
      <c r="J123" s="28" t="n"/>
      <c r="K123" s="24">
        <f>IF(D123="","",IFERROR(INDEX(Setup!$B$24:$B$59,MATCH(D123,Setup!$A$24:$A$59,0)),"Check category"))</f>
        <v/>
      </c>
      <c r="L123" s="25">
        <f>IF(A123="","",DATE(YEAR(A123),MONTH(A123),1))</f>
        <v/>
      </c>
      <c r="M123" s="26">
        <f>IF(AND(E123="",F123=""),"",N(E123)-N(F123))</f>
        <v/>
      </c>
      <c r="N123" s="28" t="n"/>
    </row>
    <row r="124">
      <c r="A124" s="27" t="n"/>
      <c r="B124" s="28" t="n"/>
      <c r="C124" s="28" t="n"/>
      <c r="D124" s="28" t="n"/>
      <c r="E124" s="29" t="n"/>
      <c r="F124" s="29" t="n"/>
      <c r="G124" s="28" t="n"/>
      <c r="H124" s="28" t="n"/>
      <c r="I124" s="28" t="n"/>
      <c r="J124" s="28" t="n"/>
      <c r="K124" s="24">
        <f>IF(D124="","",IFERROR(INDEX(Setup!$B$24:$B$59,MATCH(D124,Setup!$A$24:$A$59,0)),"Check category"))</f>
        <v/>
      </c>
      <c r="L124" s="25">
        <f>IF(A124="","",DATE(YEAR(A124),MONTH(A124),1))</f>
        <v/>
      </c>
      <c r="M124" s="26">
        <f>IF(AND(E124="",F124=""),"",N(E124)-N(F124))</f>
        <v/>
      </c>
      <c r="N124" s="28" t="n"/>
    </row>
    <row r="125">
      <c r="A125" s="27" t="n"/>
      <c r="B125" s="28" t="n"/>
      <c r="C125" s="28" t="n"/>
      <c r="D125" s="28" t="n"/>
      <c r="E125" s="29" t="n"/>
      <c r="F125" s="29" t="n"/>
      <c r="G125" s="28" t="n"/>
      <c r="H125" s="28" t="n"/>
      <c r="I125" s="28" t="n"/>
      <c r="J125" s="28" t="n"/>
      <c r="K125" s="24">
        <f>IF(D125="","",IFERROR(INDEX(Setup!$B$24:$B$59,MATCH(D125,Setup!$A$24:$A$59,0)),"Check category"))</f>
        <v/>
      </c>
      <c r="L125" s="25">
        <f>IF(A125="","",DATE(YEAR(A125),MONTH(A125),1))</f>
        <v/>
      </c>
      <c r="M125" s="26">
        <f>IF(AND(E125="",F125=""),"",N(E125)-N(F125))</f>
        <v/>
      </c>
      <c r="N125" s="28" t="n"/>
    </row>
    <row r="126">
      <c r="A126" s="27" t="n"/>
      <c r="B126" s="28" t="n"/>
      <c r="C126" s="28" t="n"/>
      <c r="D126" s="28" t="n"/>
      <c r="E126" s="29" t="n"/>
      <c r="F126" s="29" t="n"/>
      <c r="G126" s="28" t="n"/>
      <c r="H126" s="28" t="n"/>
      <c r="I126" s="28" t="n"/>
      <c r="J126" s="28" t="n"/>
      <c r="K126" s="24">
        <f>IF(D126="","",IFERROR(INDEX(Setup!$B$24:$B$59,MATCH(D126,Setup!$A$24:$A$59,0)),"Check category"))</f>
        <v/>
      </c>
      <c r="L126" s="25">
        <f>IF(A126="","",DATE(YEAR(A126),MONTH(A126),1))</f>
        <v/>
      </c>
      <c r="M126" s="26">
        <f>IF(AND(E126="",F126=""),"",N(E126)-N(F126))</f>
        <v/>
      </c>
      <c r="N126" s="28" t="n"/>
    </row>
    <row r="127">
      <c r="A127" s="27" t="n"/>
      <c r="B127" s="28" t="n"/>
      <c r="C127" s="28" t="n"/>
      <c r="D127" s="28" t="n"/>
      <c r="E127" s="29" t="n"/>
      <c r="F127" s="29" t="n"/>
      <c r="G127" s="28" t="n"/>
      <c r="H127" s="28" t="n"/>
      <c r="I127" s="28" t="n"/>
      <c r="J127" s="28" t="n"/>
      <c r="K127" s="24">
        <f>IF(D127="","",IFERROR(INDEX(Setup!$B$24:$B$59,MATCH(D127,Setup!$A$24:$A$59,0)),"Check category"))</f>
        <v/>
      </c>
      <c r="L127" s="25">
        <f>IF(A127="","",DATE(YEAR(A127),MONTH(A127),1))</f>
        <v/>
      </c>
      <c r="M127" s="26">
        <f>IF(AND(E127="",F127=""),"",N(E127)-N(F127))</f>
        <v/>
      </c>
      <c r="N127" s="28" t="n"/>
    </row>
    <row r="128">
      <c r="A128" s="27" t="n"/>
      <c r="B128" s="28" t="n"/>
      <c r="C128" s="28" t="n"/>
      <c r="D128" s="28" t="n"/>
      <c r="E128" s="29" t="n"/>
      <c r="F128" s="29" t="n"/>
      <c r="G128" s="28" t="n"/>
      <c r="H128" s="28" t="n"/>
      <c r="I128" s="28" t="n"/>
      <c r="J128" s="28" t="n"/>
      <c r="K128" s="24">
        <f>IF(D128="","",IFERROR(INDEX(Setup!$B$24:$B$59,MATCH(D128,Setup!$A$24:$A$59,0)),"Check category"))</f>
        <v/>
      </c>
      <c r="L128" s="25">
        <f>IF(A128="","",DATE(YEAR(A128),MONTH(A128),1))</f>
        <v/>
      </c>
      <c r="M128" s="26">
        <f>IF(AND(E128="",F128=""),"",N(E128)-N(F128))</f>
        <v/>
      </c>
      <c r="N128" s="28" t="n"/>
    </row>
    <row r="129">
      <c r="A129" s="27" t="n"/>
      <c r="B129" s="28" t="n"/>
      <c r="C129" s="28" t="n"/>
      <c r="D129" s="28" t="n"/>
      <c r="E129" s="29" t="n"/>
      <c r="F129" s="29" t="n"/>
      <c r="G129" s="28" t="n"/>
      <c r="H129" s="28" t="n"/>
      <c r="I129" s="28" t="n"/>
      <c r="J129" s="28" t="n"/>
      <c r="K129" s="24">
        <f>IF(D129="","",IFERROR(INDEX(Setup!$B$24:$B$59,MATCH(D129,Setup!$A$24:$A$59,0)),"Check category"))</f>
        <v/>
      </c>
      <c r="L129" s="25">
        <f>IF(A129="","",DATE(YEAR(A129),MONTH(A129),1))</f>
        <v/>
      </c>
      <c r="M129" s="26">
        <f>IF(AND(E129="",F129=""),"",N(E129)-N(F129))</f>
        <v/>
      </c>
      <c r="N129" s="28" t="n"/>
    </row>
    <row r="130">
      <c r="A130" s="27" t="n"/>
      <c r="B130" s="28" t="n"/>
      <c r="C130" s="28" t="n"/>
      <c r="D130" s="28" t="n"/>
      <c r="E130" s="29" t="n"/>
      <c r="F130" s="29" t="n"/>
      <c r="G130" s="28" t="n"/>
      <c r="H130" s="28" t="n"/>
      <c r="I130" s="28" t="n"/>
      <c r="J130" s="28" t="n"/>
      <c r="K130" s="24">
        <f>IF(D130="","",IFERROR(INDEX(Setup!$B$24:$B$59,MATCH(D130,Setup!$A$24:$A$59,0)),"Check category"))</f>
        <v/>
      </c>
      <c r="L130" s="25">
        <f>IF(A130="","",DATE(YEAR(A130),MONTH(A130),1))</f>
        <v/>
      </c>
      <c r="M130" s="26">
        <f>IF(AND(E130="",F130=""),"",N(E130)-N(F130))</f>
        <v/>
      </c>
      <c r="N130" s="28" t="n"/>
    </row>
    <row r="131">
      <c r="A131" s="27" t="n"/>
      <c r="B131" s="28" t="n"/>
      <c r="C131" s="28" t="n"/>
      <c r="D131" s="28" t="n"/>
      <c r="E131" s="29" t="n"/>
      <c r="F131" s="29" t="n"/>
      <c r="G131" s="28" t="n"/>
      <c r="H131" s="28" t="n"/>
      <c r="I131" s="28" t="n"/>
      <c r="J131" s="28" t="n"/>
      <c r="K131" s="24">
        <f>IF(D131="","",IFERROR(INDEX(Setup!$B$24:$B$59,MATCH(D131,Setup!$A$24:$A$59,0)),"Check category"))</f>
        <v/>
      </c>
      <c r="L131" s="25">
        <f>IF(A131="","",DATE(YEAR(A131),MONTH(A131),1))</f>
        <v/>
      </c>
      <c r="M131" s="26">
        <f>IF(AND(E131="",F131=""),"",N(E131)-N(F131))</f>
        <v/>
      </c>
      <c r="N131" s="28" t="n"/>
    </row>
    <row r="132">
      <c r="A132" s="27" t="n"/>
      <c r="B132" s="28" t="n"/>
      <c r="C132" s="28" t="n"/>
      <c r="D132" s="28" t="n"/>
      <c r="E132" s="29" t="n"/>
      <c r="F132" s="29" t="n"/>
      <c r="G132" s="28" t="n"/>
      <c r="H132" s="28" t="n"/>
      <c r="I132" s="28" t="n"/>
      <c r="J132" s="28" t="n"/>
      <c r="K132" s="24">
        <f>IF(D132="","",IFERROR(INDEX(Setup!$B$24:$B$59,MATCH(D132,Setup!$A$24:$A$59,0)),"Check category"))</f>
        <v/>
      </c>
      <c r="L132" s="25">
        <f>IF(A132="","",DATE(YEAR(A132),MONTH(A132),1))</f>
        <v/>
      </c>
      <c r="M132" s="26">
        <f>IF(AND(E132="",F132=""),"",N(E132)-N(F132))</f>
        <v/>
      </c>
      <c r="N132" s="28" t="n"/>
    </row>
    <row r="133">
      <c r="A133" s="27" t="n"/>
      <c r="B133" s="28" t="n"/>
      <c r="C133" s="28" t="n"/>
      <c r="D133" s="28" t="n"/>
      <c r="E133" s="29" t="n"/>
      <c r="F133" s="29" t="n"/>
      <c r="G133" s="28" t="n"/>
      <c r="H133" s="28" t="n"/>
      <c r="I133" s="28" t="n"/>
      <c r="J133" s="28" t="n"/>
      <c r="K133" s="24">
        <f>IF(D133="","",IFERROR(INDEX(Setup!$B$24:$B$59,MATCH(D133,Setup!$A$24:$A$59,0)),"Check category"))</f>
        <v/>
      </c>
      <c r="L133" s="25">
        <f>IF(A133="","",DATE(YEAR(A133),MONTH(A133),1))</f>
        <v/>
      </c>
      <c r="M133" s="26">
        <f>IF(AND(E133="",F133=""),"",N(E133)-N(F133))</f>
        <v/>
      </c>
      <c r="N133" s="28" t="n"/>
    </row>
    <row r="134">
      <c r="A134" s="27" t="n"/>
      <c r="B134" s="28" t="n"/>
      <c r="C134" s="28" t="n"/>
      <c r="D134" s="28" t="n"/>
      <c r="E134" s="29" t="n"/>
      <c r="F134" s="29" t="n"/>
      <c r="G134" s="28" t="n"/>
      <c r="H134" s="28" t="n"/>
      <c r="I134" s="28" t="n"/>
      <c r="J134" s="28" t="n"/>
      <c r="K134" s="24">
        <f>IF(D134="","",IFERROR(INDEX(Setup!$B$24:$B$59,MATCH(D134,Setup!$A$24:$A$59,0)),"Check category"))</f>
        <v/>
      </c>
      <c r="L134" s="25">
        <f>IF(A134="","",DATE(YEAR(A134),MONTH(A134),1))</f>
        <v/>
      </c>
      <c r="M134" s="26">
        <f>IF(AND(E134="",F134=""),"",N(E134)-N(F134))</f>
        <v/>
      </c>
      <c r="N134" s="28" t="n"/>
    </row>
    <row r="135">
      <c r="A135" s="27" t="n"/>
      <c r="B135" s="28" t="n"/>
      <c r="C135" s="28" t="n"/>
      <c r="D135" s="28" t="n"/>
      <c r="E135" s="29" t="n"/>
      <c r="F135" s="29" t="n"/>
      <c r="G135" s="28" t="n"/>
      <c r="H135" s="28" t="n"/>
      <c r="I135" s="28" t="n"/>
      <c r="J135" s="28" t="n"/>
      <c r="K135" s="24">
        <f>IF(D135="","",IFERROR(INDEX(Setup!$B$24:$B$59,MATCH(D135,Setup!$A$24:$A$59,0)),"Check category"))</f>
        <v/>
      </c>
      <c r="L135" s="25">
        <f>IF(A135="","",DATE(YEAR(A135),MONTH(A135),1))</f>
        <v/>
      </c>
      <c r="M135" s="26">
        <f>IF(AND(E135="",F135=""),"",N(E135)-N(F135))</f>
        <v/>
      </c>
      <c r="N135" s="28" t="n"/>
    </row>
    <row r="136">
      <c r="A136" s="27" t="n"/>
      <c r="B136" s="28" t="n"/>
      <c r="C136" s="28" t="n"/>
      <c r="D136" s="28" t="n"/>
      <c r="E136" s="29" t="n"/>
      <c r="F136" s="29" t="n"/>
      <c r="G136" s="28" t="n"/>
      <c r="H136" s="28" t="n"/>
      <c r="I136" s="28" t="n"/>
      <c r="J136" s="28" t="n"/>
      <c r="K136" s="24">
        <f>IF(D136="","",IFERROR(INDEX(Setup!$B$24:$B$59,MATCH(D136,Setup!$A$24:$A$59,0)),"Check category"))</f>
        <v/>
      </c>
      <c r="L136" s="25">
        <f>IF(A136="","",DATE(YEAR(A136),MONTH(A136),1))</f>
        <v/>
      </c>
      <c r="M136" s="26">
        <f>IF(AND(E136="",F136=""),"",N(E136)-N(F136))</f>
        <v/>
      </c>
      <c r="N136" s="28" t="n"/>
    </row>
    <row r="137">
      <c r="A137" s="27" t="n"/>
      <c r="B137" s="28" t="n"/>
      <c r="C137" s="28" t="n"/>
      <c r="D137" s="28" t="n"/>
      <c r="E137" s="29" t="n"/>
      <c r="F137" s="29" t="n"/>
      <c r="G137" s="28" t="n"/>
      <c r="H137" s="28" t="n"/>
      <c r="I137" s="28" t="n"/>
      <c r="J137" s="28" t="n"/>
      <c r="K137" s="24">
        <f>IF(D137="","",IFERROR(INDEX(Setup!$B$24:$B$59,MATCH(D137,Setup!$A$24:$A$59,0)),"Check category"))</f>
        <v/>
      </c>
      <c r="L137" s="25">
        <f>IF(A137="","",DATE(YEAR(A137),MONTH(A137),1))</f>
        <v/>
      </c>
      <c r="M137" s="26">
        <f>IF(AND(E137="",F137=""),"",N(E137)-N(F137))</f>
        <v/>
      </c>
      <c r="N137" s="28" t="n"/>
    </row>
    <row r="138">
      <c r="A138" s="27" t="n"/>
      <c r="B138" s="28" t="n"/>
      <c r="C138" s="28" t="n"/>
      <c r="D138" s="28" t="n"/>
      <c r="E138" s="29" t="n"/>
      <c r="F138" s="29" t="n"/>
      <c r="G138" s="28" t="n"/>
      <c r="H138" s="28" t="n"/>
      <c r="I138" s="28" t="n"/>
      <c r="J138" s="28" t="n"/>
      <c r="K138" s="24">
        <f>IF(D138="","",IFERROR(INDEX(Setup!$B$24:$B$59,MATCH(D138,Setup!$A$24:$A$59,0)),"Check category"))</f>
        <v/>
      </c>
      <c r="L138" s="25">
        <f>IF(A138="","",DATE(YEAR(A138),MONTH(A138),1))</f>
        <v/>
      </c>
      <c r="M138" s="26">
        <f>IF(AND(E138="",F138=""),"",N(E138)-N(F138))</f>
        <v/>
      </c>
      <c r="N138" s="28" t="n"/>
    </row>
    <row r="139">
      <c r="A139" s="27" t="n"/>
      <c r="B139" s="28" t="n"/>
      <c r="C139" s="28" t="n"/>
      <c r="D139" s="28" t="n"/>
      <c r="E139" s="29" t="n"/>
      <c r="F139" s="29" t="n"/>
      <c r="G139" s="28" t="n"/>
      <c r="H139" s="28" t="n"/>
      <c r="I139" s="28" t="n"/>
      <c r="J139" s="28" t="n"/>
      <c r="K139" s="24">
        <f>IF(D139="","",IFERROR(INDEX(Setup!$B$24:$B$59,MATCH(D139,Setup!$A$24:$A$59,0)),"Check category"))</f>
        <v/>
      </c>
      <c r="L139" s="25">
        <f>IF(A139="","",DATE(YEAR(A139),MONTH(A139),1))</f>
        <v/>
      </c>
      <c r="M139" s="26">
        <f>IF(AND(E139="",F139=""),"",N(E139)-N(F139))</f>
        <v/>
      </c>
      <c r="N139" s="28" t="n"/>
    </row>
    <row r="140">
      <c r="A140" s="27" t="n"/>
      <c r="B140" s="28" t="n"/>
      <c r="C140" s="28" t="n"/>
      <c r="D140" s="28" t="n"/>
      <c r="E140" s="29" t="n"/>
      <c r="F140" s="29" t="n"/>
      <c r="G140" s="28" t="n"/>
      <c r="H140" s="28" t="n"/>
      <c r="I140" s="28" t="n"/>
      <c r="J140" s="28" t="n"/>
      <c r="K140" s="24">
        <f>IF(D140="","",IFERROR(INDEX(Setup!$B$24:$B$59,MATCH(D140,Setup!$A$24:$A$59,0)),"Check category"))</f>
        <v/>
      </c>
      <c r="L140" s="25">
        <f>IF(A140="","",DATE(YEAR(A140),MONTH(A140),1))</f>
        <v/>
      </c>
      <c r="M140" s="26">
        <f>IF(AND(E140="",F140=""),"",N(E140)-N(F140))</f>
        <v/>
      </c>
      <c r="N140" s="28" t="n"/>
    </row>
    <row r="141">
      <c r="A141" s="27" t="n"/>
      <c r="B141" s="28" t="n"/>
      <c r="C141" s="28" t="n"/>
      <c r="D141" s="28" t="n"/>
      <c r="E141" s="29" t="n"/>
      <c r="F141" s="29" t="n"/>
      <c r="G141" s="28" t="n"/>
      <c r="H141" s="28" t="n"/>
      <c r="I141" s="28" t="n"/>
      <c r="J141" s="28" t="n"/>
      <c r="K141" s="24">
        <f>IF(D141="","",IFERROR(INDEX(Setup!$B$24:$B$59,MATCH(D141,Setup!$A$24:$A$59,0)),"Check category"))</f>
        <v/>
      </c>
      <c r="L141" s="25">
        <f>IF(A141="","",DATE(YEAR(A141),MONTH(A141),1))</f>
        <v/>
      </c>
      <c r="M141" s="26">
        <f>IF(AND(E141="",F141=""),"",N(E141)-N(F141))</f>
        <v/>
      </c>
      <c r="N141" s="28" t="n"/>
    </row>
    <row r="142">
      <c r="A142" s="27" t="n"/>
      <c r="B142" s="28" t="n"/>
      <c r="C142" s="28" t="n"/>
      <c r="D142" s="28" t="n"/>
      <c r="E142" s="29" t="n"/>
      <c r="F142" s="29" t="n"/>
      <c r="G142" s="28" t="n"/>
      <c r="H142" s="28" t="n"/>
      <c r="I142" s="28" t="n"/>
      <c r="J142" s="28" t="n"/>
      <c r="K142" s="24">
        <f>IF(D142="","",IFERROR(INDEX(Setup!$B$24:$B$59,MATCH(D142,Setup!$A$24:$A$59,0)),"Check category"))</f>
        <v/>
      </c>
      <c r="L142" s="25">
        <f>IF(A142="","",DATE(YEAR(A142),MONTH(A142),1))</f>
        <v/>
      </c>
      <c r="M142" s="26">
        <f>IF(AND(E142="",F142=""),"",N(E142)-N(F142))</f>
        <v/>
      </c>
      <c r="N142" s="28" t="n"/>
    </row>
    <row r="143">
      <c r="A143" s="27" t="n"/>
      <c r="B143" s="28" t="n"/>
      <c r="C143" s="28" t="n"/>
      <c r="D143" s="28" t="n"/>
      <c r="E143" s="29" t="n"/>
      <c r="F143" s="29" t="n"/>
      <c r="G143" s="28" t="n"/>
      <c r="H143" s="28" t="n"/>
      <c r="I143" s="28" t="n"/>
      <c r="J143" s="28" t="n"/>
      <c r="K143" s="24">
        <f>IF(D143="","",IFERROR(INDEX(Setup!$B$24:$B$59,MATCH(D143,Setup!$A$24:$A$59,0)),"Check category"))</f>
        <v/>
      </c>
      <c r="L143" s="25">
        <f>IF(A143="","",DATE(YEAR(A143),MONTH(A143),1))</f>
        <v/>
      </c>
      <c r="M143" s="26">
        <f>IF(AND(E143="",F143=""),"",N(E143)-N(F143))</f>
        <v/>
      </c>
      <c r="N143" s="28" t="n"/>
    </row>
    <row r="144">
      <c r="A144" s="27" t="n"/>
      <c r="B144" s="28" t="n"/>
      <c r="C144" s="28" t="n"/>
      <c r="D144" s="28" t="n"/>
      <c r="E144" s="29" t="n"/>
      <c r="F144" s="29" t="n"/>
      <c r="G144" s="28" t="n"/>
      <c r="H144" s="28" t="n"/>
      <c r="I144" s="28" t="n"/>
      <c r="J144" s="28" t="n"/>
      <c r="K144" s="24">
        <f>IF(D144="","",IFERROR(INDEX(Setup!$B$24:$B$59,MATCH(D144,Setup!$A$24:$A$59,0)),"Check category"))</f>
        <v/>
      </c>
      <c r="L144" s="25">
        <f>IF(A144="","",DATE(YEAR(A144),MONTH(A144),1))</f>
        <v/>
      </c>
      <c r="M144" s="26">
        <f>IF(AND(E144="",F144=""),"",N(E144)-N(F144))</f>
        <v/>
      </c>
      <c r="N144" s="28" t="n"/>
    </row>
    <row r="145">
      <c r="A145" s="27" t="n"/>
      <c r="B145" s="28" t="n"/>
      <c r="C145" s="28" t="n"/>
      <c r="D145" s="28" t="n"/>
      <c r="E145" s="29" t="n"/>
      <c r="F145" s="29" t="n"/>
      <c r="G145" s="28" t="n"/>
      <c r="H145" s="28" t="n"/>
      <c r="I145" s="28" t="n"/>
      <c r="J145" s="28" t="n"/>
      <c r="K145" s="24">
        <f>IF(D145="","",IFERROR(INDEX(Setup!$B$24:$B$59,MATCH(D145,Setup!$A$24:$A$59,0)),"Check category"))</f>
        <v/>
      </c>
      <c r="L145" s="25">
        <f>IF(A145="","",DATE(YEAR(A145),MONTH(A145),1))</f>
        <v/>
      </c>
      <c r="M145" s="26">
        <f>IF(AND(E145="",F145=""),"",N(E145)-N(F145))</f>
        <v/>
      </c>
      <c r="N145" s="28" t="n"/>
    </row>
    <row r="146">
      <c r="A146" s="27" t="n"/>
      <c r="B146" s="28" t="n"/>
      <c r="C146" s="28" t="n"/>
      <c r="D146" s="28" t="n"/>
      <c r="E146" s="29" t="n"/>
      <c r="F146" s="29" t="n"/>
      <c r="G146" s="28" t="n"/>
      <c r="H146" s="28" t="n"/>
      <c r="I146" s="28" t="n"/>
      <c r="J146" s="28" t="n"/>
      <c r="K146" s="24">
        <f>IF(D146="","",IFERROR(INDEX(Setup!$B$24:$B$59,MATCH(D146,Setup!$A$24:$A$59,0)),"Check category"))</f>
        <v/>
      </c>
      <c r="L146" s="25">
        <f>IF(A146="","",DATE(YEAR(A146),MONTH(A146),1))</f>
        <v/>
      </c>
      <c r="M146" s="26">
        <f>IF(AND(E146="",F146=""),"",N(E146)-N(F146))</f>
        <v/>
      </c>
      <c r="N146" s="28" t="n"/>
    </row>
    <row r="147">
      <c r="A147" s="27" t="n"/>
      <c r="B147" s="28" t="n"/>
      <c r="C147" s="28" t="n"/>
      <c r="D147" s="28" t="n"/>
      <c r="E147" s="29" t="n"/>
      <c r="F147" s="29" t="n"/>
      <c r="G147" s="28" t="n"/>
      <c r="H147" s="28" t="n"/>
      <c r="I147" s="28" t="n"/>
      <c r="J147" s="28" t="n"/>
      <c r="K147" s="24">
        <f>IF(D147="","",IFERROR(INDEX(Setup!$B$24:$B$59,MATCH(D147,Setup!$A$24:$A$59,0)),"Check category"))</f>
        <v/>
      </c>
      <c r="L147" s="25">
        <f>IF(A147="","",DATE(YEAR(A147),MONTH(A147),1))</f>
        <v/>
      </c>
      <c r="M147" s="26">
        <f>IF(AND(E147="",F147=""),"",N(E147)-N(F147))</f>
        <v/>
      </c>
      <c r="N147" s="28" t="n"/>
    </row>
    <row r="148">
      <c r="A148" s="27" t="n"/>
      <c r="B148" s="28" t="n"/>
      <c r="C148" s="28" t="n"/>
      <c r="D148" s="28" t="n"/>
      <c r="E148" s="29" t="n"/>
      <c r="F148" s="29" t="n"/>
      <c r="G148" s="28" t="n"/>
      <c r="H148" s="28" t="n"/>
      <c r="I148" s="28" t="n"/>
      <c r="J148" s="28" t="n"/>
      <c r="K148" s="24">
        <f>IF(D148="","",IFERROR(INDEX(Setup!$B$24:$B$59,MATCH(D148,Setup!$A$24:$A$59,0)),"Check category"))</f>
        <v/>
      </c>
      <c r="L148" s="25">
        <f>IF(A148="","",DATE(YEAR(A148),MONTH(A148),1))</f>
        <v/>
      </c>
      <c r="M148" s="26">
        <f>IF(AND(E148="",F148=""),"",N(E148)-N(F148))</f>
        <v/>
      </c>
      <c r="N148" s="28" t="n"/>
    </row>
    <row r="149">
      <c r="A149" s="27" t="n"/>
      <c r="B149" s="28" t="n"/>
      <c r="C149" s="28" t="n"/>
      <c r="D149" s="28" t="n"/>
      <c r="E149" s="29" t="n"/>
      <c r="F149" s="29" t="n"/>
      <c r="G149" s="28" t="n"/>
      <c r="H149" s="28" t="n"/>
      <c r="I149" s="28" t="n"/>
      <c r="J149" s="28" t="n"/>
      <c r="K149" s="24">
        <f>IF(D149="","",IFERROR(INDEX(Setup!$B$24:$B$59,MATCH(D149,Setup!$A$24:$A$59,0)),"Check category"))</f>
        <v/>
      </c>
      <c r="L149" s="25">
        <f>IF(A149="","",DATE(YEAR(A149),MONTH(A149),1))</f>
        <v/>
      </c>
      <c r="M149" s="26">
        <f>IF(AND(E149="",F149=""),"",N(E149)-N(F149))</f>
        <v/>
      </c>
      <c r="N149" s="28" t="n"/>
    </row>
    <row r="150">
      <c r="A150" s="27" t="n"/>
      <c r="B150" s="28" t="n"/>
      <c r="C150" s="28" t="n"/>
      <c r="D150" s="28" t="n"/>
      <c r="E150" s="29" t="n"/>
      <c r="F150" s="29" t="n"/>
      <c r="G150" s="28" t="n"/>
      <c r="H150" s="28" t="n"/>
      <c r="I150" s="28" t="n"/>
      <c r="J150" s="28" t="n"/>
      <c r="K150" s="24">
        <f>IF(D150="","",IFERROR(INDEX(Setup!$B$24:$B$59,MATCH(D150,Setup!$A$24:$A$59,0)),"Check category"))</f>
        <v/>
      </c>
      <c r="L150" s="25">
        <f>IF(A150="","",DATE(YEAR(A150),MONTH(A150),1))</f>
        <v/>
      </c>
      <c r="M150" s="26">
        <f>IF(AND(E150="",F150=""),"",N(E150)-N(F150))</f>
        <v/>
      </c>
      <c r="N150" s="28" t="n"/>
    </row>
    <row r="151">
      <c r="A151" s="27" t="n"/>
      <c r="B151" s="28" t="n"/>
      <c r="C151" s="28" t="n"/>
      <c r="D151" s="28" t="n"/>
      <c r="E151" s="29" t="n"/>
      <c r="F151" s="29" t="n"/>
      <c r="G151" s="28" t="n"/>
      <c r="H151" s="28" t="n"/>
      <c r="I151" s="28" t="n"/>
      <c r="J151" s="28" t="n"/>
      <c r="K151" s="24">
        <f>IF(D151="","",IFERROR(INDEX(Setup!$B$24:$B$59,MATCH(D151,Setup!$A$24:$A$59,0)),"Check category"))</f>
        <v/>
      </c>
      <c r="L151" s="25">
        <f>IF(A151="","",DATE(YEAR(A151),MONTH(A151),1))</f>
        <v/>
      </c>
      <c r="M151" s="26">
        <f>IF(AND(E151="",F151=""),"",N(E151)-N(F151))</f>
        <v/>
      </c>
      <c r="N151" s="28" t="n"/>
    </row>
    <row r="152">
      <c r="A152" s="27" t="n"/>
      <c r="B152" s="28" t="n"/>
      <c r="C152" s="28" t="n"/>
      <c r="D152" s="28" t="n"/>
      <c r="E152" s="29" t="n"/>
      <c r="F152" s="29" t="n"/>
      <c r="G152" s="28" t="n"/>
      <c r="H152" s="28" t="n"/>
      <c r="I152" s="28" t="n"/>
      <c r="J152" s="28" t="n"/>
      <c r="K152" s="24">
        <f>IF(D152="","",IFERROR(INDEX(Setup!$B$24:$B$59,MATCH(D152,Setup!$A$24:$A$59,0)),"Check category"))</f>
        <v/>
      </c>
      <c r="L152" s="25">
        <f>IF(A152="","",DATE(YEAR(A152),MONTH(A152),1))</f>
        <v/>
      </c>
      <c r="M152" s="26">
        <f>IF(AND(E152="",F152=""),"",N(E152)-N(F152))</f>
        <v/>
      </c>
      <c r="N152" s="28" t="n"/>
    </row>
    <row r="153">
      <c r="A153" s="27" t="n"/>
      <c r="B153" s="28" t="n"/>
      <c r="C153" s="28" t="n"/>
      <c r="D153" s="28" t="n"/>
      <c r="E153" s="29" t="n"/>
      <c r="F153" s="29" t="n"/>
      <c r="G153" s="28" t="n"/>
      <c r="H153" s="28" t="n"/>
      <c r="I153" s="28" t="n"/>
      <c r="J153" s="28" t="n"/>
      <c r="K153" s="24">
        <f>IF(D153="","",IFERROR(INDEX(Setup!$B$24:$B$59,MATCH(D153,Setup!$A$24:$A$59,0)),"Check category"))</f>
        <v/>
      </c>
      <c r="L153" s="25">
        <f>IF(A153="","",DATE(YEAR(A153),MONTH(A153),1))</f>
        <v/>
      </c>
      <c r="M153" s="26">
        <f>IF(AND(E153="",F153=""),"",N(E153)-N(F153))</f>
        <v/>
      </c>
      <c r="N153" s="28" t="n"/>
    </row>
    <row r="154">
      <c r="A154" s="27" t="n"/>
      <c r="B154" s="28" t="n"/>
      <c r="C154" s="28" t="n"/>
      <c r="D154" s="28" t="n"/>
      <c r="E154" s="29" t="n"/>
      <c r="F154" s="29" t="n"/>
      <c r="G154" s="28" t="n"/>
      <c r="H154" s="28" t="n"/>
      <c r="I154" s="28" t="n"/>
      <c r="J154" s="28" t="n"/>
      <c r="K154" s="24">
        <f>IF(D154="","",IFERROR(INDEX(Setup!$B$24:$B$59,MATCH(D154,Setup!$A$24:$A$59,0)),"Check category"))</f>
        <v/>
      </c>
      <c r="L154" s="25">
        <f>IF(A154="","",DATE(YEAR(A154),MONTH(A154),1))</f>
        <v/>
      </c>
      <c r="M154" s="26">
        <f>IF(AND(E154="",F154=""),"",N(E154)-N(F154))</f>
        <v/>
      </c>
      <c r="N154" s="28" t="n"/>
    </row>
    <row r="155">
      <c r="A155" s="27" t="n"/>
      <c r="B155" s="28" t="n"/>
      <c r="C155" s="28" t="n"/>
      <c r="D155" s="28" t="n"/>
      <c r="E155" s="29" t="n"/>
      <c r="F155" s="29" t="n"/>
      <c r="G155" s="28" t="n"/>
      <c r="H155" s="28" t="n"/>
      <c r="I155" s="28" t="n"/>
      <c r="J155" s="28" t="n"/>
      <c r="K155" s="24">
        <f>IF(D155="","",IFERROR(INDEX(Setup!$B$24:$B$59,MATCH(D155,Setup!$A$24:$A$59,0)),"Check category"))</f>
        <v/>
      </c>
      <c r="L155" s="25">
        <f>IF(A155="","",DATE(YEAR(A155),MONTH(A155),1))</f>
        <v/>
      </c>
      <c r="M155" s="26">
        <f>IF(AND(E155="",F155=""),"",N(E155)-N(F155))</f>
        <v/>
      </c>
      <c r="N155" s="28" t="n"/>
    </row>
    <row r="156">
      <c r="A156" s="27" t="n"/>
      <c r="B156" s="28" t="n"/>
      <c r="C156" s="28" t="n"/>
      <c r="D156" s="28" t="n"/>
      <c r="E156" s="29" t="n"/>
      <c r="F156" s="29" t="n"/>
      <c r="G156" s="28" t="n"/>
      <c r="H156" s="28" t="n"/>
      <c r="I156" s="28" t="n"/>
      <c r="J156" s="28" t="n"/>
      <c r="K156" s="24">
        <f>IF(D156="","",IFERROR(INDEX(Setup!$B$24:$B$59,MATCH(D156,Setup!$A$24:$A$59,0)),"Check category"))</f>
        <v/>
      </c>
      <c r="L156" s="25">
        <f>IF(A156="","",DATE(YEAR(A156),MONTH(A156),1))</f>
        <v/>
      </c>
      <c r="M156" s="26">
        <f>IF(AND(E156="",F156=""),"",N(E156)-N(F156))</f>
        <v/>
      </c>
      <c r="N156" s="28" t="n"/>
    </row>
    <row r="157">
      <c r="A157" s="27" t="n"/>
      <c r="B157" s="28" t="n"/>
      <c r="C157" s="28" t="n"/>
      <c r="D157" s="28" t="n"/>
      <c r="E157" s="29" t="n"/>
      <c r="F157" s="29" t="n"/>
      <c r="G157" s="28" t="n"/>
      <c r="H157" s="28" t="n"/>
      <c r="I157" s="28" t="n"/>
      <c r="J157" s="28" t="n"/>
      <c r="K157" s="24">
        <f>IF(D157="","",IFERROR(INDEX(Setup!$B$24:$B$59,MATCH(D157,Setup!$A$24:$A$59,0)),"Check category"))</f>
        <v/>
      </c>
      <c r="L157" s="25">
        <f>IF(A157="","",DATE(YEAR(A157),MONTH(A157),1))</f>
        <v/>
      </c>
      <c r="M157" s="26">
        <f>IF(AND(E157="",F157=""),"",N(E157)-N(F157))</f>
        <v/>
      </c>
      <c r="N157" s="28" t="n"/>
    </row>
    <row r="158">
      <c r="A158" s="27" t="n"/>
      <c r="B158" s="28" t="n"/>
      <c r="C158" s="28" t="n"/>
      <c r="D158" s="28" t="n"/>
      <c r="E158" s="29" t="n"/>
      <c r="F158" s="29" t="n"/>
      <c r="G158" s="28" t="n"/>
      <c r="H158" s="28" t="n"/>
      <c r="I158" s="28" t="n"/>
      <c r="J158" s="28" t="n"/>
      <c r="K158" s="24">
        <f>IF(D158="","",IFERROR(INDEX(Setup!$B$24:$B$59,MATCH(D158,Setup!$A$24:$A$59,0)),"Check category"))</f>
        <v/>
      </c>
      <c r="L158" s="25">
        <f>IF(A158="","",DATE(YEAR(A158),MONTH(A158),1))</f>
        <v/>
      </c>
      <c r="M158" s="26">
        <f>IF(AND(E158="",F158=""),"",N(E158)-N(F158))</f>
        <v/>
      </c>
      <c r="N158" s="28" t="n"/>
    </row>
    <row r="159">
      <c r="A159" s="27" t="n"/>
      <c r="B159" s="28" t="n"/>
      <c r="C159" s="28" t="n"/>
      <c r="D159" s="28" t="n"/>
      <c r="E159" s="29" t="n"/>
      <c r="F159" s="29" t="n"/>
      <c r="G159" s="28" t="n"/>
      <c r="H159" s="28" t="n"/>
      <c r="I159" s="28" t="n"/>
      <c r="J159" s="28" t="n"/>
      <c r="K159" s="24">
        <f>IF(D159="","",IFERROR(INDEX(Setup!$B$24:$B$59,MATCH(D159,Setup!$A$24:$A$59,0)),"Check category"))</f>
        <v/>
      </c>
      <c r="L159" s="25">
        <f>IF(A159="","",DATE(YEAR(A159),MONTH(A159),1))</f>
        <v/>
      </c>
      <c r="M159" s="26">
        <f>IF(AND(E159="",F159=""),"",N(E159)-N(F159))</f>
        <v/>
      </c>
      <c r="N159" s="28" t="n"/>
    </row>
    <row r="160">
      <c r="A160" s="27" t="n"/>
      <c r="B160" s="28" t="n"/>
      <c r="C160" s="28" t="n"/>
      <c r="D160" s="28" t="n"/>
      <c r="E160" s="29" t="n"/>
      <c r="F160" s="29" t="n"/>
      <c r="G160" s="28" t="n"/>
      <c r="H160" s="28" t="n"/>
      <c r="I160" s="28" t="n"/>
      <c r="J160" s="28" t="n"/>
      <c r="K160" s="24">
        <f>IF(D160="","",IFERROR(INDEX(Setup!$B$24:$B$59,MATCH(D160,Setup!$A$24:$A$59,0)),"Check category"))</f>
        <v/>
      </c>
      <c r="L160" s="25">
        <f>IF(A160="","",DATE(YEAR(A160),MONTH(A160),1))</f>
        <v/>
      </c>
      <c r="M160" s="26">
        <f>IF(AND(E160="",F160=""),"",N(E160)-N(F160))</f>
        <v/>
      </c>
      <c r="N160" s="28" t="n"/>
    </row>
    <row r="161">
      <c r="A161" s="27" t="n"/>
      <c r="B161" s="28" t="n"/>
      <c r="C161" s="28" t="n"/>
      <c r="D161" s="28" t="n"/>
      <c r="E161" s="29" t="n"/>
      <c r="F161" s="29" t="n"/>
      <c r="G161" s="28" t="n"/>
      <c r="H161" s="28" t="n"/>
      <c r="I161" s="28" t="n"/>
      <c r="J161" s="28" t="n"/>
      <c r="K161" s="24">
        <f>IF(D161="","",IFERROR(INDEX(Setup!$B$24:$B$59,MATCH(D161,Setup!$A$24:$A$59,0)),"Check category"))</f>
        <v/>
      </c>
      <c r="L161" s="25">
        <f>IF(A161="","",DATE(YEAR(A161),MONTH(A161),1))</f>
        <v/>
      </c>
      <c r="M161" s="26">
        <f>IF(AND(E161="",F161=""),"",N(E161)-N(F161))</f>
        <v/>
      </c>
      <c r="N161" s="28" t="n"/>
    </row>
    <row r="162">
      <c r="A162" s="27" t="n"/>
      <c r="B162" s="28" t="n"/>
      <c r="C162" s="28" t="n"/>
      <c r="D162" s="28" t="n"/>
      <c r="E162" s="29" t="n"/>
      <c r="F162" s="29" t="n"/>
      <c r="G162" s="28" t="n"/>
      <c r="H162" s="28" t="n"/>
      <c r="I162" s="28" t="n"/>
      <c r="J162" s="28" t="n"/>
      <c r="K162" s="24">
        <f>IF(D162="","",IFERROR(INDEX(Setup!$B$24:$B$59,MATCH(D162,Setup!$A$24:$A$59,0)),"Check category"))</f>
        <v/>
      </c>
      <c r="L162" s="25">
        <f>IF(A162="","",DATE(YEAR(A162),MONTH(A162),1))</f>
        <v/>
      </c>
      <c r="M162" s="26">
        <f>IF(AND(E162="",F162=""),"",N(E162)-N(F162))</f>
        <v/>
      </c>
      <c r="N162" s="28" t="n"/>
    </row>
    <row r="163">
      <c r="A163" s="27" t="n"/>
      <c r="B163" s="28" t="n"/>
      <c r="C163" s="28" t="n"/>
      <c r="D163" s="28" t="n"/>
      <c r="E163" s="29" t="n"/>
      <c r="F163" s="29" t="n"/>
      <c r="G163" s="28" t="n"/>
      <c r="H163" s="28" t="n"/>
      <c r="I163" s="28" t="n"/>
      <c r="J163" s="28" t="n"/>
      <c r="K163" s="24">
        <f>IF(D163="","",IFERROR(INDEX(Setup!$B$24:$B$59,MATCH(D163,Setup!$A$24:$A$59,0)),"Check category"))</f>
        <v/>
      </c>
      <c r="L163" s="25">
        <f>IF(A163="","",DATE(YEAR(A163),MONTH(A163),1))</f>
        <v/>
      </c>
      <c r="M163" s="26">
        <f>IF(AND(E163="",F163=""),"",N(E163)-N(F163))</f>
        <v/>
      </c>
      <c r="N163" s="28" t="n"/>
    </row>
    <row r="164">
      <c r="A164" s="27" t="n"/>
      <c r="B164" s="28" t="n"/>
      <c r="C164" s="28" t="n"/>
      <c r="D164" s="28" t="n"/>
      <c r="E164" s="29" t="n"/>
      <c r="F164" s="29" t="n"/>
      <c r="G164" s="28" t="n"/>
      <c r="H164" s="28" t="n"/>
      <c r="I164" s="28" t="n"/>
      <c r="J164" s="28" t="n"/>
      <c r="K164" s="24">
        <f>IF(D164="","",IFERROR(INDEX(Setup!$B$24:$B$59,MATCH(D164,Setup!$A$24:$A$59,0)),"Check category"))</f>
        <v/>
      </c>
      <c r="L164" s="25">
        <f>IF(A164="","",DATE(YEAR(A164),MONTH(A164),1))</f>
        <v/>
      </c>
      <c r="M164" s="26">
        <f>IF(AND(E164="",F164=""),"",N(E164)-N(F164))</f>
        <v/>
      </c>
      <c r="N164" s="28" t="n"/>
    </row>
    <row r="165">
      <c r="A165" s="27" t="n"/>
      <c r="B165" s="28" t="n"/>
      <c r="C165" s="28" t="n"/>
      <c r="D165" s="28" t="n"/>
      <c r="E165" s="29" t="n"/>
      <c r="F165" s="29" t="n"/>
      <c r="G165" s="28" t="n"/>
      <c r="H165" s="28" t="n"/>
      <c r="I165" s="28" t="n"/>
      <c r="J165" s="28" t="n"/>
      <c r="K165" s="24">
        <f>IF(D165="","",IFERROR(INDEX(Setup!$B$24:$B$59,MATCH(D165,Setup!$A$24:$A$59,0)),"Check category"))</f>
        <v/>
      </c>
      <c r="L165" s="25">
        <f>IF(A165="","",DATE(YEAR(A165),MONTH(A165),1))</f>
        <v/>
      </c>
      <c r="M165" s="26">
        <f>IF(AND(E165="",F165=""),"",N(E165)-N(F165))</f>
        <v/>
      </c>
      <c r="N165" s="28" t="n"/>
    </row>
    <row r="166">
      <c r="A166" s="27" t="n"/>
      <c r="B166" s="28" t="n"/>
      <c r="C166" s="28" t="n"/>
      <c r="D166" s="28" t="n"/>
      <c r="E166" s="29" t="n"/>
      <c r="F166" s="29" t="n"/>
      <c r="G166" s="28" t="n"/>
      <c r="H166" s="28" t="n"/>
      <c r="I166" s="28" t="n"/>
      <c r="J166" s="28" t="n"/>
      <c r="K166" s="24">
        <f>IF(D166="","",IFERROR(INDEX(Setup!$B$24:$B$59,MATCH(D166,Setup!$A$24:$A$59,0)),"Check category"))</f>
        <v/>
      </c>
      <c r="L166" s="25">
        <f>IF(A166="","",DATE(YEAR(A166),MONTH(A166),1))</f>
        <v/>
      </c>
      <c r="M166" s="26">
        <f>IF(AND(E166="",F166=""),"",N(E166)-N(F166))</f>
        <v/>
      </c>
      <c r="N166" s="28" t="n"/>
    </row>
    <row r="167">
      <c r="A167" s="27" t="n"/>
      <c r="B167" s="28" t="n"/>
      <c r="C167" s="28" t="n"/>
      <c r="D167" s="28" t="n"/>
      <c r="E167" s="29" t="n"/>
      <c r="F167" s="29" t="n"/>
      <c r="G167" s="28" t="n"/>
      <c r="H167" s="28" t="n"/>
      <c r="I167" s="28" t="n"/>
      <c r="J167" s="28" t="n"/>
      <c r="K167" s="24">
        <f>IF(D167="","",IFERROR(INDEX(Setup!$B$24:$B$59,MATCH(D167,Setup!$A$24:$A$59,0)),"Check category"))</f>
        <v/>
      </c>
      <c r="L167" s="25">
        <f>IF(A167="","",DATE(YEAR(A167),MONTH(A167),1))</f>
        <v/>
      </c>
      <c r="M167" s="26">
        <f>IF(AND(E167="",F167=""),"",N(E167)-N(F167))</f>
        <v/>
      </c>
      <c r="N167" s="28" t="n"/>
    </row>
    <row r="168">
      <c r="A168" s="27" t="n"/>
      <c r="B168" s="28" t="n"/>
      <c r="C168" s="28" t="n"/>
      <c r="D168" s="28" t="n"/>
      <c r="E168" s="29" t="n"/>
      <c r="F168" s="29" t="n"/>
      <c r="G168" s="28" t="n"/>
      <c r="H168" s="28" t="n"/>
      <c r="I168" s="28" t="n"/>
      <c r="J168" s="28" t="n"/>
      <c r="K168" s="24">
        <f>IF(D168="","",IFERROR(INDEX(Setup!$B$24:$B$59,MATCH(D168,Setup!$A$24:$A$59,0)),"Check category"))</f>
        <v/>
      </c>
      <c r="L168" s="25">
        <f>IF(A168="","",DATE(YEAR(A168),MONTH(A168),1))</f>
        <v/>
      </c>
      <c r="M168" s="26">
        <f>IF(AND(E168="",F168=""),"",N(E168)-N(F168))</f>
        <v/>
      </c>
      <c r="N168" s="28" t="n"/>
    </row>
    <row r="169">
      <c r="A169" s="27" t="n"/>
      <c r="B169" s="28" t="n"/>
      <c r="C169" s="28" t="n"/>
      <c r="D169" s="28" t="n"/>
      <c r="E169" s="29" t="n"/>
      <c r="F169" s="29" t="n"/>
      <c r="G169" s="28" t="n"/>
      <c r="H169" s="28" t="n"/>
      <c r="I169" s="28" t="n"/>
      <c r="J169" s="28" t="n"/>
      <c r="K169" s="24">
        <f>IF(D169="","",IFERROR(INDEX(Setup!$B$24:$B$59,MATCH(D169,Setup!$A$24:$A$59,0)),"Check category"))</f>
        <v/>
      </c>
      <c r="L169" s="25">
        <f>IF(A169="","",DATE(YEAR(A169),MONTH(A169),1))</f>
        <v/>
      </c>
      <c r="M169" s="26">
        <f>IF(AND(E169="",F169=""),"",N(E169)-N(F169))</f>
        <v/>
      </c>
      <c r="N169" s="28" t="n"/>
    </row>
    <row r="170">
      <c r="A170" s="27" t="n"/>
      <c r="B170" s="28" t="n"/>
      <c r="C170" s="28" t="n"/>
      <c r="D170" s="28" t="n"/>
      <c r="E170" s="29" t="n"/>
      <c r="F170" s="29" t="n"/>
      <c r="G170" s="28" t="n"/>
      <c r="H170" s="28" t="n"/>
      <c r="I170" s="28" t="n"/>
      <c r="J170" s="28" t="n"/>
      <c r="K170" s="24">
        <f>IF(D170="","",IFERROR(INDEX(Setup!$B$24:$B$59,MATCH(D170,Setup!$A$24:$A$59,0)),"Check category"))</f>
        <v/>
      </c>
      <c r="L170" s="25">
        <f>IF(A170="","",DATE(YEAR(A170),MONTH(A170),1))</f>
        <v/>
      </c>
      <c r="M170" s="26">
        <f>IF(AND(E170="",F170=""),"",N(E170)-N(F170))</f>
        <v/>
      </c>
      <c r="N170" s="28" t="n"/>
    </row>
    <row r="171">
      <c r="A171" s="27" t="n"/>
      <c r="B171" s="28" t="n"/>
      <c r="C171" s="28" t="n"/>
      <c r="D171" s="28" t="n"/>
      <c r="E171" s="29" t="n"/>
      <c r="F171" s="29" t="n"/>
      <c r="G171" s="28" t="n"/>
      <c r="H171" s="28" t="n"/>
      <c r="I171" s="28" t="n"/>
      <c r="J171" s="28" t="n"/>
      <c r="K171" s="24">
        <f>IF(D171="","",IFERROR(INDEX(Setup!$B$24:$B$59,MATCH(D171,Setup!$A$24:$A$59,0)),"Check category"))</f>
        <v/>
      </c>
      <c r="L171" s="25">
        <f>IF(A171="","",DATE(YEAR(A171),MONTH(A171),1))</f>
        <v/>
      </c>
      <c r="M171" s="26">
        <f>IF(AND(E171="",F171=""),"",N(E171)-N(F171))</f>
        <v/>
      </c>
      <c r="N171" s="28" t="n"/>
    </row>
    <row r="172">
      <c r="A172" s="27" t="n"/>
      <c r="B172" s="28" t="n"/>
      <c r="C172" s="28" t="n"/>
      <c r="D172" s="28" t="n"/>
      <c r="E172" s="29" t="n"/>
      <c r="F172" s="29" t="n"/>
      <c r="G172" s="28" t="n"/>
      <c r="H172" s="28" t="n"/>
      <c r="I172" s="28" t="n"/>
      <c r="J172" s="28" t="n"/>
      <c r="K172" s="24">
        <f>IF(D172="","",IFERROR(INDEX(Setup!$B$24:$B$59,MATCH(D172,Setup!$A$24:$A$59,0)),"Check category"))</f>
        <v/>
      </c>
      <c r="L172" s="25">
        <f>IF(A172="","",DATE(YEAR(A172),MONTH(A172),1))</f>
        <v/>
      </c>
      <c r="M172" s="26">
        <f>IF(AND(E172="",F172=""),"",N(E172)-N(F172))</f>
        <v/>
      </c>
      <c r="N172" s="28" t="n"/>
    </row>
    <row r="173">
      <c r="A173" s="27" t="n"/>
      <c r="B173" s="28" t="n"/>
      <c r="C173" s="28" t="n"/>
      <c r="D173" s="28" t="n"/>
      <c r="E173" s="29" t="n"/>
      <c r="F173" s="29" t="n"/>
      <c r="G173" s="28" t="n"/>
      <c r="H173" s="28" t="n"/>
      <c r="I173" s="28" t="n"/>
      <c r="J173" s="28" t="n"/>
      <c r="K173" s="24">
        <f>IF(D173="","",IFERROR(INDEX(Setup!$B$24:$B$59,MATCH(D173,Setup!$A$24:$A$59,0)),"Check category"))</f>
        <v/>
      </c>
      <c r="L173" s="25">
        <f>IF(A173="","",DATE(YEAR(A173),MONTH(A173),1))</f>
        <v/>
      </c>
      <c r="M173" s="26">
        <f>IF(AND(E173="",F173=""),"",N(E173)-N(F173))</f>
        <v/>
      </c>
      <c r="N173" s="28" t="n"/>
    </row>
    <row r="174">
      <c r="A174" s="27" t="n"/>
      <c r="B174" s="28" t="n"/>
      <c r="C174" s="28" t="n"/>
      <c r="D174" s="28" t="n"/>
      <c r="E174" s="29" t="n"/>
      <c r="F174" s="29" t="n"/>
      <c r="G174" s="28" t="n"/>
      <c r="H174" s="28" t="n"/>
      <c r="I174" s="28" t="n"/>
      <c r="J174" s="28" t="n"/>
      <c r="K174" s="24">
        <f>IF(D174="","",IFERROR(INDEX(Setup!$B$24:$B$59,MATCH(D174,Setup!$A$24:$A$59,0)),"Check category"))</f>
        <v/>
      </c>
      <c r="L174" s="25">
        <f>IF(A174="","",DATE(YEAR(A174),MONTH(A174),1))</f>
        <v/>
      </c>
      <c r="M174" s="26">
        <f>IF(AND(E174="",F174=""),"",N(E174)-N(F174))</f>
        <v/>
      </c>
      <c r="N174" s="28" t="n"/>
    </row>
    <row r="175">
      <c r="A175" s="27" t="n"/>
      <c r="B175" s="28" t="n"/>
      <c r="C175" s="28" t="n"/>
      <c r="D175" s="28" t="n"/>
      <c r="E175" s="29" t="n"/>
      <c r="F175" s="29" t="n"/>
      <c r="G175" s="28" t="n"/>
      <c r="H175" s="28" t="n"/>
      <c r="I175" s="28" t="n"/>
      <c r="J175" s="28" t="n"/>
      <c r="K175" s="24">
        <f>IF(D175="","",IFERROR(INDEX(Setup!$B$24:$B$59,MATCH(D175,Setup!$A$24:$A$59,0)),"Check category"))</f>
        <v/>
      </c>
      <c r="L175" s="25">
        <f>IF(A175="","",DATE(YEAR(A175),MONTH(A175),1))</f>
        <v/>
      </c>
      <c r="M175" s="26">
        <f>IF(AND(E175="",F175=""),"",N(E175)-N(F175))</f>
        <v/>
      </c>
      <c r="N175" s="28" t="n"/>
    </row>
    <row r="176">
      <c r="A176" s="27" t="n"/>
      <c r="B176" s="28" t="n"/>
      <c r="C176" s="28" t="n"/>
      <c r="D176" s="28" t="n"/>
      <c r="E176" s="29" t="n"/>
      <c r="F176" s="29" t="n"/>
      <c r="G176" s="28" t="n"/>
      <c r="H176" s="28" t="n"/>
      <c r="I176" s="28" t="n"/>
      <c r="J176" s="28" t="n"/>
      <c r="K176" s="24">
        <f>IF(D176="","",IFERROR(INDEX(Setup!$B$24:$B$59,MATCH(D176,Setup!$A$24:$A$59,0)),"Check category"))</f>
        <v/>
      </c>
      <c r="L176" s="25">
        <f>IF(A176="","",DATE(YEAR(A176),MONTH(A176),1))</f>
        <v/>
      </c>
      <c r="M176" s="26">
        <f>IF(AND(E176="",F176=""),"",N(E176)-N(F176))</f>
        <v/>
      </c>
      <c r="N176" s="28" t="n"/>
    </row>
    <row r="177">
      <c r="A177" s="27" t="n"/>
      <c r="B177" s="28" t="n"/>
      <c r="C177" s="28" t="n"/>
      <c r="D177" s="28" t="n"/>
      <c r="E177" s="29" t="n"/>
      <c r="F177" s="29" t="n"/>
      <c r="G177" s="28" t="n"/>
      <c r="H177" s="28" t="n"/>
      <c r="I177" s="28" t="n"/>
      <c r="J177" s="28" t="n"/>
      <c r="K177" s="24">
        <f>IF(D177="","",IFERROR(INDEX(Setup!$B$24:$B$59,MATCH(D177,Setup!$A$24:$A$59,0)),"Check category"))</f>
        <v/>
      </c>
      <c r="L177" s="25">
        <f>IF(A177="","",DATE(YEAR(A177),MONTH(A177),1))</f>
        <v/>
      </c>
      <c r="M177" s="26">
        <f>IF(AND(E177="",F177=""),"",N(E177)-N(F177))</f>
        <v/>
      </c>
      <c r="N177" s="28" t="n"/>
    </row>
    <row r="178">
      <c r="A178" s="27" t="n"/>
      <c r="B178" s="28" t="n"/>
      <c r="C178" s="28" t="n"/>
      <c r="D178" s="28" t="n"/>
      <c r="E178" s="29" t="n"/>
      <c r="F178" s="29" t="n"/>
      <c r="G178" s="28" t="n"/>
      <c r="H178" s="28" t="n"/>
      <c r="I178" s="28" t="n"/>
      <c r="J178" s="28" t="n"/>
      <c r="K178" s="24">
        <f>IF(D178="","",IFERROR(INDEX(Setup!$B$24:$B$59,MATCH(D178,Setup!$A$24:$A$59,0)),"Check category"))</f>
        <v/>
      </c>
      <c r="L178" s="25">
        <f>IF(A178="","",DATE(YEAR(A178),MONTH(A178),1))</f>
        <v/>
      </c>
      <c r="M178" s="26">
        <f>IF(AND(E178="",F178=""),"",N(E178)-N(F178))</f>
        <v/>
      </c>
      <c r="N178" s="28" t="n"/>
    </row>
    <row r="179">
      <c r="A179" s="27" t="n"/>
      <c r="B179" s="28" t="n"/>
      <c r="C179" s="28" t="n"/>
      <c r="D179" s="28" t="n"/>
      <c r="E179" s="29" t="n"/>
      <c r="F179" s="29" t="n"/>
      <c r="G179" s="28" t="n"/>
      <c r="H179" s="28" t="n"/>
      <c r="I179" s="28" t="n"/>
      <c r="J179" s="28" t="n"/>
      <c r="K179" s="24">
        <f>IF(D179="","",IFERROR(INDEX(Setup!$B$24:$B$59,MATCH(D179,Setup!$A$24:$A$59,0)),"Check category"))</f>
        <v/>
      </c>
      <c r="L179" s="25">
        <f>IF(A179="","",DATE(YEAR(A179),MONTH(A179),1))</f>
        <v/>
      </c>
      <c r="M179" s="26">
        <f>IF(AND(E179="",F179=""),"",N(E179)-N(F179))</f>
        <v/>
      </c>
      <c r="N179" s="28" t="n"/>
    </row>
    <row r="180">
      <c r="A180" s="27" t="n"/>
      <c r="B180" s="28" t="n"/>
      <c r="C180" s="28" t="n"/>
      <c r="D180" s="28" t="n"/>
      <c r="E180" s="29" t="n"/>
      <c r="F180" s="29" t="n"/>
      <c r="G180" s="28" t="n"/>
      <c r="H180" s="28" t="n"/>
      <c r="I180" s="28" t="n"/>
      <c r="J180" s="28" t="n"/>
      <c r="K180" s="24">
        <f>IF(D180="","",IFERROR(INDEX(Setup!$B$24:$B$59,MATCH(D180,Setup!$A$24:$A$59,0)),"Check category"))</f>
        <v/>
      </c>
      <c r="L180" s="25">
        <f>IF(A180="","",DATE(YEAR(A180),MONTH(A180),1))</f>
        <v/>
      </c>
      <c r="M180" s="26">
        <f>IF(AND(E180="",F180=""),"",N(E180)-N(F180))</f>
        <v/>
      </c>
      <c r="N180" s="28" t="n"/>
    </row>
    <row r="181">
      <c r="A181" s="27" t="n"/>
      <c r="B181" s="28" t="n"/>
      <c r="C181" s="28" t="n"/>
      <c r="D181" s="28" t="n"/>
      <c r="E181" s="29" t="n"/>
      <c r="F181" s="29" t="n"/>
      <c r="G181" s="28" t="n"/>
      <c r="H181" s="28" t="n"/>
      <c r="I181" s="28" t="n"/>
      <c r="J181" s="28" t="n"/>
      <c r="K181" s="24">
        <f>IF(D181="","",IFERROR(INDEX(Setup!$B$24:$B$59,MATCH(D181,Setup!$A$24:$A$59,0)),"Check category"))</f>
        <v/>
      </c>
      <c r="L181" s="25">
        <f>IF(A181="","",DATE(YEAR(A181),MONTH(A181),1))</f>
        <v/>
      </c>
      <c r="M181" s="26">
        <f>IF(AND(E181="",F181=""),"",N(E181)-N(F181))</f>
        <v/>
      </c>
      <c r="N181" s="28" t="n"/>
    </row>
    <row r="182">
      <c r="A182" s="27" t="n"/>
      <c r="B182" s="28" t="n"/>
      <c r="C182" s="28" t="n"/>
      <c r="D182" s="28" t="n"/>
      <c r="E182" s="29" t="n"/>
      <c r="F182" s="29" t="n"/>
      <c r="G182" s="28" t="n"/>
      <c r="H182" s="28" t="n"/>
      <c r="I182" s="28" t="n"/>
      <c r="J182" s="28" t="n"/>
      <c r="K182" s="24">
        <f>IF(D182="","",IFERROR(INDEX(Setup!$B$24:$B$59,MATCH(D182,Setup!$A$24:$A$59,0)),"Check category"))</f>
        <v/>
      </c>
      <c r="L182" s="25">
        <f>IF(A182="","",DATE(YEAR(A182),MONTH(A182),1))</f>
        <v/>
      </c>
      <c r="M182" s="26">
        <f>IF(AND(E182="",F182=""),"",N(E182)-N(F182))</f>
        <v/>
      </c>
      <c r="N182" s="28" t="n"/>
    </row>
    <row r="183">
      <c r="A183" s="27" t="n"/>
      <c r="B183" s="28" t="n"/>
      <c r="C183" s="28" t="n"/>
      <c r="D183" s="28" t="n"/>
      <c r="E183" s="29" t="n"/>
      <c r="F183" s="29" t="n"/>
      <c r="G183" s="28" t="n"/>
      <c r="H183" s="28" t="n"/>
      <c r="I183" s="28" t="n"/>
      <c r="J183" s="28" t="n"/>
      <c r="K183" s="24">
        <f>IF(D183="","",IFERROR(INDEX(Setup!$B$24:$B$59,MATCH(D183,Setup!$A$24:$A$59,0)),"Check category"))</f>
        <v/>
      </c>
      <c r="L183" s="25">
        <f>IF(A183="","",DATE(YEAR(A183),MONTH(A183),1))</f>
        <v/>
      </c>
      <c r="M183" s="26">
        <f>IF(AND(E183="",F183=""),"",N(E183)-N(F183))</f>
        <v/>
      </c>
      <c r="N183" s="28" t="n"/>
    </row>
    <row r="184">
      <c r="A184" s="27" t="n"/>
      <c r="B184" s="28" t="n"/>
      <c r="C184" s="28" t="n"/>
      <c r="D184" s="28" t="n"/>
      <c r="E184" s="29" t="n"/>
      <c r="F184" s="29" t="n"/>
      <c r="G184" s="28" t="n"/>
      <c r="H184" s="28" t="n"/>
      <c r="I184" s="28" t="n"/>
      <c r="J184" s="28" t="n"/>
      <c r="K184" s="24">
        <f>IF(D184="","",IFERROR(INDEX(Setup!$B$24:$B$59,MATCH(D184,Setup!$A$24:$A$59,0)),"Check category"))</f>
        <v/>
      </c>
      <c r="L184" s="25">
        <f>IF(A184="","",DATE(YEAR(A184),MONTH(A184),1))</f>
        <v/>
      </c>
      <c r="M184" s="26">
        <f>IF(AND(E184="",F184=""),"",N(E184)-N(F184))</f>
        <v/>
      </c>
      <c r="N184" s="28" t="n"/>
    </row>
    <row r="185">
      <c r="A185" s="27" t="n"/>
      <c r="B185" s="28" t="n"/>
      <c r="C185" s="28" t="n"/>
      <c r="D185" s="28" t="n"/>
      <c r="E185" s="29" t="n"/>
      <c r="F185" s="29" t="n"/>
      <c r="G185" s="28" t="n"/>
      <c r="H185" s="28" t="n"/>
      <c r="I185" s="28" t="n"/>
      <c r="J185" s="28" t="n"/>
      <c r="K185" s="24">
        <f>IF(D185="","",IFERROR(INDEX(Setup!$B$24:$B$59,MATCH(D185,Setup!$A$24:$A$59,0)),"Check category"))</f>
        <v/>
      </c>
      <c r="L185" s="25">
        <f>IF(A185="","",DATE(YEAR(A185),MONTH(A185),1))</f>
        <v/>
      </c>
      <c r="M185" s="26">
        <f>IF(AND(E185="",F185=""),"",N(E185)-N(F185))</f>
        <v/>
      </c>
      <c r="N185" s="28" t="n"/>
    </row>
    <row r="186">
      <c r="A186" s="27" t="n"/>
      <c r="B186" s="28" t="n"/>
      <c r="C186" s="28" t="n"/>
      <c r="D186" s="28" t="n"/>
      <c r="E186" s="29" t="n"/>
      <c r="F186" s="29" t="n"/>
      <c r="G186" s="28" t="n"/>
      <c r="H186" s="28" t="n"/>
      <c r="I186" s="28" t="n"/>
      <c r="J186" s="28" t="n"/>
      <c r="K186" s="24">
        <f>IF(D186="","",IFERROR(INDEX(Setup!$B$24:$B$59,MATCH(D186,Setup!$A$24:$A$59,0)),"Check category"))</f>
        <v/>
      </c>
      <c r="L186" s="25">
        <f>IF(A186="","",DATE(YEAR(A186),MONTH(A186),1))</f>
        <v/>
      </c>
      <c r="M186" s="26">
        <f>IF(AND(E186="",F186=""),"",N(E186)-N(F186))</f>
        <v/>
      </c>
      <c r="N186" s="28" t="n"/>
    </row>
    <row r="187">
      <c r="A187" s="27" t="n"/>
      <c r="B187" s="28" t="n"/>
      <c r="C187" s="28" t="n"/>
      <c r="D187" s="28" t="n"/>
      <c r="E187" s="29" t="n"/>
      <c r="F187" s="29" t="n"/>
      <c r="G187" s="28" t="n"/>
      <c r="H187" s="28" t="n"/>
      <c r="I187" s="28" t="n"/>
      <c r="J187" s="28" t="n"/>
      <c r="K187" s="24">
        <f>IF(D187="","",IFERROR(INDEX(Setup!$B$24:$B$59,MATCH(D187,Setup!$A$24:$A$59,0)),"Check category"))</f>
        <v/>
      </c>
      <c r="L187" s="25">
        <f>IF(A187="","",DATE(YEAR(A187),MONTH(A187),1))</f>
        <v/>
      </c>
      <c r="M187" s="26">
        <f>IF(AND(E187="",F187=""),"",N(E187)-N(F187))</f>
        <v/>
      </c>
      <c r="N187" s="28" t="n"/>
    </row>
    <row r="188">
      <c r="A188" s="27" t="n"/>
      <c r="B188" s="28" t="n"/>
      <c r="C188" s="28" t="n"/>
      <c r="D188" s="28" t="n"/>
      <c r="E188" s="29" t="n"/>
      <c r="F188" s="29" t="n"/>
      <c r="G188" s="28" t="n"/>
      <c r="H188" s="28" t="n"/>
      <c r="I188" s="28" t="n"/>
      <c r="J188" s="28" t="n"/>
      <c r="K188" s="24">
        <f>IF(D188="","",IFERROR(INDEX(Setup!$B$24:$B$59,MATCH(D188,Setup!$A$24:$A$59,0)),"Check category"))</f>
        <v/>
      </c>
      <c r="L188" s="25">
        <f>IF(A188="","",DATE(YEAR(A188),MONTH(A188),1))</f>
        <v/>
      </c>
      <c r="M188" s="26">
        <f>IF(AND(E188="",F188=""),"",N(E188)-N(F188))</f>
        <v/>
      </c>
      <c r="N188" s="28" t="n"/>
    </row>
    <row r="189">
      <c r="A189" s="27" t="n"/>
      <c r="B189" s="28" t="n"/>
      <c r="C189" s="28" t="n"/>
      <c r="D189" s="28" t="n"/>
      <c r="E189" s="29" t="n"/>
      <c r="F189" s="29" t="n"/>
      <c r="G189" s="28" t="n"/>
      <c r="H189" s="28" t="n"/>
      <c r="I189" s="28" t="n"/>
      <c r="J189" s="28" t="n"/>
      <c r="K189" s="24">
        <f>IF(D189="","",IFERROR(INDEX(Setup!$B$24:$B$59,MATCH(D189,Setup!$A$24:$A$59,0)),"Check category"))</f>
        <v/>
      </c>
      <c r="L189" s="25">
        <f>IF(A189="","",DATE(YEAR(A189),MONTH(A189),1))</f>
        <v/>
      </c>
      <c r="M189" s="26">
        <f>IF(AND(E189="",F189=""),"",N(E189)-N(F189))</f>
        <v/>
      </c>
      <c r="N189" s="28" t="n"/>
    </row>
    <row r="190">
      <c r="A190" s="27" t="n"/>
      <c r="B190" s="28" t="n"/>
      <c r="C190" s="28" t="n"/>
      <c r="D190" s="28" t="n"/>
      <c r="E190" s="29" t="n"/>
      <c r="F190" s="29" t="n"/>
      <c r="G190" s="28" t="n"/>
      <c r="H190" s="28" t="n"/>
      <c r="I190" s="28" t="n"/>
      <c r="J190" s="28" t="n"/>
      <c r="K190" s="24">
        <f>IF(D190="","",IFERROR(INDEX(Setup!$B$24:$B$59,MATCH(D190,Setup!$A$24:$A$59,0)),"Check category"))</f>
        <v/>
      </c>
      <c r="L190" s="25">
        <f>IF(A190="","",DATE(YEAR(A190),MONTH(A190),1))</f>
        <v/>
      </c>
      <c r="M190" s="26">
        <f>IF(AND(E190="",F190=""),"",N(E190)-N(F190))</f>
        <v/>
      </c>
      <c r="N190" s="28" t="n"/>
    </row>
    <row r="191">
      <c r="A191" s="27" t="n"/>
      <c r="B191" s="28" t="n"/>
      <c r="C191" s="28" t="n"/>
      <c r="D191" s="28" t="n"/>
      <c r="E191" s="29" t="n"/>
      <c r="F191" s="29" t="n"/>
      <c r="G191" s="28" t="n"/>
      <c r="H191" s="28" t="n"/>
      <c r="I191" s="28" t="n"/>
      <c r="J191" s="28" t="n"/>
      <c r="K191" s="24">
        <f>IF(D191="","",IFERROR(INDEX(Setup!$B$24:$B$59,MATCH(D191,Setup!$A$24:$A$59,0)),"Check category"))</f>
        <v/>
      </c>
      <c r="L191" s="25">
        <f>IF(A191="","",DATE(YEAR(A191),MONTH(A191),1))</f>
        <v/>
      </c>
      <c r="M191" s="26">
        <f>IF(AND(E191="",F191=""),"",N(E191)-N(F191))</f>
        <v/>
      </c>
      <c r="N191" s="28" t="n"/>
    </row>
    <row r="192">
      <c r="A192" s="27" t="n"/>
      <c r="B192" s="28" t="n"/>
      <c r="C192" s="28" t="n"/>
      <c r="D192" s="28" t="n"/>
      <c r="E192" s="29" t="n"/>
      <c r="F192" s="29" t="n"/>
      <c r="G192" s="28" t="n"/>
      <c r="H192" s="28" t="n"/>
      <c r="I192" s="28" t="n"/>
      <c r="J192" s="28" t="n"/>
      <c r="K192" s="24">
        <f>IF(D192="","",IFERROR(INDEX(Setup!$B$24:$B$59,MATCH(D192,Setup!$A$24:$A$59,0)),"Check category"))</f>
        <v/>
      </c>
      <c r="L192" s="25">
        <f>IF(A192="","",DATE(YEAR(A192),MONTH(A192),1))</f>
        <v/>
      </c>
      <c r="M192" s="26">
        <f>IF(AND(E192="",F192=""),"",N(E192)-N(F192))</f>
        <v/>
      </c>
      <c r="N192" s="28" t="n"/>
    </row>
    <row r="193">
      <c r="A193" s="27" t="n"/>
      <c r="B193" s="28" t="n"/>
      <c r="C193" s="28" t="n"/>
      <c r="D193" s="28" t="n"/>
      <c r="E193" s="29" t="n"/>
      <c r="F193" s="29" t="n"/>
      <c r="G193" s="28" t="n"/>
      <c r="H193" s="28" t="n"/>
      <c r="I193" s="28" t="n"/>
      <c r="J193" s="28" t="n"/>
      <c r="K193" s="24">
        <f>IF(D193="","",IFERROR(INDEX(Setup!$B$24:$B$59,MATCH(D193,Setup!$A$24:$A$59,0)),"Check category"))</f>
        <v/>
      </c>
      <c r="L193" s="25">
        <f>IF(A193="","",DATE(YEAR(A193),MONTH(A193),1))</f>
        <v/>
      </c>
      <c r="M193" s="26">
        <f>IF(AND(E193="",F193=""),"",N(E193)-N(F193))</f>
        <v/>
      </c>
      <c r="N193" s="28" t="n"/>
    </row>
    <row r="194">
      <c r="A194" s="27" t="n"/>
      <c r="B194" s="28" t="n"/>
      <c r="C194" s="28" t="n"/>
      <c r="D194" s="28" t="n"/>
      <c r="E194" s="29" t="n"/>
      <c r="F194" s="29" t="n"/>
      <c r="G194" s="28" t="n"/>
      <c r="H194" s="28" t="n"/>
      <c r="I194" s="28" t="n"/>
      <c r="J194" s="28" t="n"/>
      <c r="K194" s="24">
        <f>IF(D194="","",IFERROR(INDEX(Setup!$B$24:$B$59,MATCH(D194,Setup!$A$24:$A$59,0)),"Check category"))</f>
        <v/>
      </c>
      <c r="L194" s="25">
        <f>IF(A194="","",DATE(YEAR(A194),MONTH(A194),1))</f>
        <v/>
      </c>
      <c r="M194" s="26">
        <f>IF(AND(E194="",F194=""),"",N(E194)-N(F194))</f>
        <v/>
      </c>
      <c r="N194" s="28" t="n"/>
    </row>
    <row r="195">
      <c r="A195" s="27" t="n"/>
      <c r="B195" s="28" t="n"/>
      <c r="C195" s="28" t="n"/>
      <c r="D195" s="28" t="n"/>
      <c r="E195" s="29" t="n"/>
      <c r="F195" s="29" t="n"/>
      <c r="G195" s="28" t="n"/>
      <c r="H195" s="28" t="n"/>
      <c r="I195" s="28" t="n"/>
      <c r="J195" s="28" t="n"/>
      <c r="K195" s="24">
        <f>IF(D195="","",IFERROR(INDEX(Setup!$B$24:$B$59,MATCH(D195,Setup!$A$24:$A$59,0)),"Check category"))</f>
        <v/>
      </c>
      <c r="L195" s="25">
        <f>IF(A195="","",DATE(YEAR(A195),MONTH(A195),1))</f>
        <v/>
      </c>
      <c r="M195" s="26">
        <f>IF(AND(E195="",F195=""),"",N(E195)-N(F195))</f>
        <v/>
      </c>
      <c r="N195" s="28" t="n"/>
    </row>
    <row r="196">
      <c r="A196" s="27" t="n"/>
      <c r="B196" s="28" t="n"/>
      <c r="C196" s="28" t="n"/>
      <c r="D196" s="28" t="n"/>
      <c r="E196" s="29" t="n"/>
      <c r="F196" s="29" t="n"/>
      <c r="G196" s="28" t="n"/>
      <c r="H196" s="28" t="n"/>
      <c r="I196" s="28" t="n"/>
      <c r="J196" s="28" t="n"/>
      <c r="K196" s="24">
        <f>IF(D196="","",IFERROR(INDEX(Setup!$B$24:$B$59,MATCH(D196,Setup!$A$24:$A$59,0)),"Check category"))</f>
        <v/>
      </c>
      <c r="L196" s="25">
        <f>IF(A196="","",DATE(YEAR(A196),MONTH(A196),1))</f>
        <v/>
      </c>
      <c r="M196" s="26">
        <f>IF(AND(E196="",F196=""),"",N(E196)-N(F196))</f>
        <v/>
      </c>
      <c r="N196" s="28" t="n"/>
    </row>
    <row r="197">
      <c r="A197" s="27" t="n"/>
      <c r="B197" s="28" t="n"/>
      <c r="C197" s="28" t="n"/>
      <c r="D197" s="28" t="n"/>
      <c r="E197" s="29" t="n"/>
      <c r="F197" s="29" t="n"/>
      <c r="G197" s="28" t="n"/>
      <c r="H197" s="28" t="n"/>
      <c r="I197" s="28" t="n"/>
      <c r="J197" s="28" t="n"/>
      <c r="K197" s="24">
        <f>IF(D197="","",IFERROR(INDEX(Setup!$B$24:$B$59,MATCH(D197,Setup!$A$24:$A$59,0)),"Check category"))</f>
        <v/>
      </c>
      <c r="L197" s="25">
        <f>IF(A197="","",DATE(YEAR(A197),MONTH(A197),1))</f>
        <v/>
      </c>
      <c r="M197" s="26">
        <f>IF(AND(E197="",F197=""),"",N(E197)-N(F197))</f>
        <v/>
      </c>
      <c r="N197" s="28" t="n"/>
    </row>
    <row r="198">
      <c r="A198" s="27" t="n"/>
      <c r="B198" s="28" t="n"/>
      <c r="C198" s="28" t="n"/>
      <c r="D198" s="28" t="n"/>
      <c r="E198" s="29" t="n"/>
      <c r="F198" s="29" t="n"/>
      <c r="G198" s="28" t="n"/>
      <c r="H198" s="28" t="n"/>
      <c r="I198" s="28" t="n"/>
      <c r="J198" s="28" t="n"/>
      <c r="K198" s="24">
        <f>IF(D198="","",IFERROR(INDEX(Setup!$B$24:$B$59,MATCH(D198,Setup!$A$24:$A$59,0)),"Check category"))</f>
        <v/>
      </c>
      <c r="L198" s="25">
        <f>IF(A198="","",DATE(YEAR(A198),MONTH(A198),1))</f>
        <v/>
      </c>
      <c r="M198" s="26">
        <f>IF(AND(E198="",F198=""),"",N(E198)-N(F198))</f>
        <v/>
      </c>
      <c r="N198" s="28" t="n"/>
    </row>
    <row r="199">
      <c r="A199" s="27" t="n"/>
      <c r="B199" s="28" t="n"/>
      <c r="C199" s="28" t="n"/>
      <c r="D199" s="28" t="n"/>
      <c r="E199" s="29" t="n"/>
      <c r="F199" s="29" t="n"/>
      <c r="G199" s="28" t="n"/>
      <c r="H199" s="28" t="n"/>
      <c r="I199" s="28" t="n"/>
      <c r="J199" s="28" t="n"/>
      <c r="K199" s="24">
        <f>IF(D199="","",IFERROR(INDEX(Setup!$B$24:$B$59,MATCH(D199,Setup!$A$24:$A$59,0)),"Check category"))</f>
        <v/>
      </c>
      <c r="L199" s="25">
        <f>IF(A199="","",DATE(YEAR(A199),MONTH(A199),1))</f>
        <v/>
      </c>
      <c r="M199" s="26">
        <f>IF(AND(E199="",F199=""),"",N(E199)-N(F199))</f>
        <v/>
      </c>
      <c r="N199" s="28" t="n"/>
    </row>
    <row r="200">
      <c r="A200" s="27" t="n"/>
      <c r="B200" s="28" t="n"/>
      <c r="C200" s="28" t="n"/>
      <c r="D200" s="28" t="n"/>
      <c r="E200" s="29" t="n"/>
      <c r="F200" s="29" t="n"/>
      <c r="G200" s="28" t="n"/>
      <c r="H200" s="28" t="n"/>
      <c r="I200" s="28" t="n"/>
      <c r="J200" s="28" t="n"/>
      <c r="K200" s="24">
        <f>IF(D200="","",IFERROR(INDEX(Setup!$B$24:$B$59,MATCH(D200,Setup!$A$24:$A$59,0)),"Check category"))</f>
        <v/>
      </c>
      <c r="L200" s="25">
        <f>IF(A200="","",DATE(YEAR(A200),MONTH(A200),1))</f>
        <v/>
      </c>
      <c r="M200" s="26">
        <f>IF(AND(E200="",F200=""),"",N(E200)-N(F200))</f>
        <v/>
      </c>
      <c r="N200" s="28" t="n"/>
    </row>
    <row r="201">
      <c r="A201" s="27" t="n"/>
      <c r="B201" s="28" t="n"/>
      <c r="C201" s="28" t="n"/>
      <c r="D201" s="28" t="n"/>
      <c r="E201" s="29" t="n"/>
      <c r="F201" s="29" t="n"/>
      <c r="G201" s="28" t="n"/>
      <c r="H201" s="28" t="n"/>
      <c r="I201" s="28" t="n"/>
      <c r="J201" s="28" t="n"/>
      <c r="K201" s="24">
        <f>IF(D201="","",IFERROR(INDEX(Setup!$B$24:$B$59,MATCH(D201,Setup!$A$24:$A$59,0)),"Check category"))</f>
        <v/>
      </c>
      <c r="L201" s="25">
        <f>IF(A201="","",DATE(YEAR(A201),MONTH(A201),1))</f>
        <v/>
      </c>
      <c r="M201" s="26">
        <f>IF(AND(E201="",F201=""),"",N(E201)-N(F201))</f>
        <v/>
      </c>
      <c r="N201" s="28" t="n"/>
    </row>
    <row r="202">
      <c r="A202" s="27" t="n"/>
      <c r="B202" s="28" t="n"/>
      <c r="C202" s="28" t="n"/>
      <c r="D202" s="28" t="n"/>
      <c r="E202" s="29" t="n"/>
      <c r="F202" s="29" t="n"/>
      <c r="G202" s="28" t="n"/>
      <c r="H202" s="28" t="n"/>
      <c r="I202" s="28" t="n"/>
      <c r="J202" s="28" t="n"/>
      <c r="K202" s="24">
        <f>IF(D202="","",IFERROR(INDEX(Setup!$B$24:$B$59,MATCH(D202,Setup!$A$24:$A$59,0)),"Check category"))</f>
        <v/>
      </c>
      <c r="L202" s="25">
        <f>IF(A202="","",DATE(YEAR(A202),MONTH(A202),1))</f>
        <v/>
      </c>
      <c r="M202" s="26">
        <f>IF(AND(E202="",F202=""),"",N(E202)-N(F202))</f>
        <v/>
      </c>
      <c r="N202" s="28" t="n"/>
    </row>
    <row r="203">
      <c r="A203" s="27" t="n"/>
      <c r="B203" s="28" t="n"/>
      <c r="C203" s="28" t="n"/>
      <c r="D203" s="28" t="n"/>
      <c r="E203" s="29" t="n"/>
      <c r="F203" s="29" t="n"/>
      <c r="G203" s="28" t="n"/>
      <c r="H203" s="28" t="n"/>
      <c r="I203" s="28" t="n"/>
      <c r="J203" s="28" t="n"/>
      <c r="K203" s="24">
        <f>IF(D203="","",IFERROR(INDEX(Setup!$B$24:$B$59,MATCH(D203,Setup!$A$24:$A$59,0)),"Check category"))</f>
        <v/>
      </c>
      <c r="L203" s="25">
        <f>IF(A203="","",DATE(YEAR(A203),MONTH(A203),1))</f>
        <v/>
      </c>
      <c r="M203" s="26">
        <f>IF(AND(E203="",F203=""),"",N(E203)-N(F203))</f>
        <v/>
      </c>
      <c r="N203" s="28" t="n"/>
    </row>
    <row r="204">
      <c r="A204" s="27" t="n"/>
      <c r="B204" s="28" t="n"/>
      <c r="C204" s="28" t="n"/>
      <c r="D204" s="28" t="n"/>
      <c r="E204" s="29" t="n"/>
      <c r="F204" s="29" t="n"/>
      <c r="G204" s="28" t="n"/>
      <c r="H204" s="28" t="n"/>
      <c r="I204" s="28" t="n"/>
      <c r="J204" s="28" t="n"/>
      <c r="K204" s="24">
        <f>IF(D204="","",IFERROR(INDEX(Setup!$B$24:$B$59,MATCH(D204,Setup!$A$24:$A$59,0)),"Check category"))</f>
        <v/>
      </c>
      <c r="L204" s="25">
        <f>IF(A204="","",DATE(YEAR(A204),MONTH(A204),1))</f>
        <v/>
      </c>
      <c r="M204" s="26">
        <f>IF(AND(E204="",F204=""),"",N(E204)-N(F204))</f>
        <v/>
      </c>
      <c r="N204" s="28" t="n"/>
    </row>
    <row r="205">
      <c r="A205" s="27" t="n"/>
      <c r="B205" s="28" t="n"/>
      <c r="C205" s="28" t="n"/>
      <c r="D205" s="28" t="n"/>
      <c r="E205" s="29" t="n"/>
      <c r="F205" s="29" t="n"/>
      <c r="G205" s="28" t="n"/>
      <c r="H205" s="28" t="n"/>
      <c r="I205" s="28" t="n"/>
      <c r="J205" s="28" t="n"/>
      <c r="K205" s="24">
        <f>IF(D205="","",IFERROR(INDEX(Setup!$B$24:$B$59,MATCH(D205,Setup!$A$24:$A$59,0)),"Check category"))</f>
        <v/>
      </c>
      <c r="L205" s="25">
        <f>IF(A205="","",DATE(YEAR(A205),MONTH(A205),1))</f>
        <v/>
      </c>
      <c r="M205" s="26">
        <f>IF(AND(E205="",F205=""),"",N(E205)-N(F205))</f>
        <v/>
      </c>
      <c r="N205" s="28" t="n"/>
    </row>
    <row r="206">
      <c r="A206" s="27" t="n"/>
      <c r="B206" s="28" t="n"/>
      <c r="C206" s="28" t="n"/>
      <c r="D206" s="28" t="n"/>
      <c r="E206" s="29" t="n"/>
      <c r="F206" s="29" t="n"/>
      <c r="G206" s="28" t="n"/>
      <c r="H206" s="28" t="n"/>
      <c r="I206" s="28" t="n"/>
      <c r="J206" s="28" t="n"/>
      <c r="K206" s="24">
        <f>IF(D206="","",IFERROR(INDEX(Setup!$B$24:$B$59,MATCH(D206,Setup!$A$24:$A$59,0)),"Check category"))</f>
        <v/>
      </c>
      <c r="L206" s="25">
        <f>IF(A206="","",DATE(YEAR(A206),MONTH(A206),1))</f>
        <v/>
      </c>
      <c r="M206" s="26">
        <f>IF(AND(E206="",F206=""),"",N(E206)-N(F206))</f>
        <v/>
      </c>
      <c r="N206" s="28" t="n"/>
    </row>
    <row r="207">
      <c r="A207" s="27" t="n"/>
      <c r="B207" s="28" t="n"/>
      <c r="C207" s="28" t="n"/>
      <c r="D207" s="28" t="n"/>
      <c r="E207" s="29" t="n"/>
      <c r="F207" s="29" t="n"/>
      <c r="G207" s="28" t="n"/>
      <c r="H207" s="28" t="n"/>
      <c r="I207" s="28" t="n"/>
      <c r="J207" s="28" t="n"/>
      <c r="K207" s="24">
        <f>IF(D207="","",IFERROR(INDEX(Setup!$B$24:$B$59,MATCH(D207,Setup!$A$24:$A$59,0)),"Check category"))</f>
        <v/>
      </c>
      <c r="L207" s="25">
        <f>IF(A207="","",DATE(YEAR(A207),MONTH(A207),1))</f>
        <v/>
      </c>
      <c r="M207" s="26">
        <f>IF(AND(E207="",F207=""),"",N(E207)-N(F207))</f>
        <v/>
      </c>
      <c r="N207" s="28" t="n"/>
    </row>
    <row r="208">
      <c r="A208" s="27" t="n"/>
      <c r="B208" s="28" t="n"/>
      <c r="C208" s="28" t="n"/>
      <c r="D208" s="28" t="n"/>
      <c r="E208" s="29" t="n"/>
      <c r="F208" s="29" t="n"/>
      <c r="G208" s="28" t="n"/>
      <c r="H208" s="28" t="n"/>
      <c r="I208" s="28" t="n"/>
      <c r="J208" s="28" t="n"/>
      <c r="K208" s="24">
        <f>IF(D208="","",IFERROR(INDEX(Setup!$B$24:$B$59,MATCH(D208,Setup!$A$24:$A$59,0)),"Check category"))</f>
        <v/>
      </c>
      <c r="L208" s="25">
        <f>IF(A208="","",DATE(YEAR(A208),MONTH(A208),1))</f>
        <v/>
      </c>
      <c r="M208" s="26">
        <f>IF(AND(E208="",F208=""),"",N(E208)-N(F208))</f>
        <v/>
      </c>
      <c r="N208" s="28" t="n"/>
    </row>
    <row r="209">
      <c r="A209" s="27" t="n"/>
      <c r="B209" s="28" t="n"/>
      <c r="C209" s="28" t="n"/>
      <c r="D209" s="28" t="n"/>
      <c r="E209" s="29" t="n"/>
      <c r="F209" s="29" t="n"/>
      <c r="G209" s="28" t="n"/>
      <c r="H209" s="28" t="n"/>
      <c r="I209" s="28" t="n"/>
      <c r="J209" s="28" t="n"/>
      <c r="K209" s="24">
        <f>IF(D209="","",IFERROR(INDEX(Setup!$B$24:$B$59,MATCH(D209,Setup!$A$24:$A$59,0)),"Check category"))</f>
        <v/>
      </c>
      <c r="L209" s="25">
        <f>IF(A209="","",DATE(YEAR(A209),MONTH(A209),1))</f>
        <v/>
      </c>
      <c r="M209" s="26">
        <f>IF(AND(E209="",F209=""),"",N(E209)-N(F209))</f>
        <v/>
      </c>
      <c r="N209" s="28" t="n"/>
    </row>
    <row r="210">
      <c r="A210" s="27" t="n"/>
      <c r="B210" s="28" t="n"/>
      <c r="C210" s="28" t="n"/>
      <c r="D210" s="28" t="n"/>
      <c r="E210" s="29" t="n"/>
      <c r="F210" s="29" t="n"/>
      <c r="G210" s="28" t="n"/>
      <c r="H210" s="28" t="n"/>
      <c r="I210" s="28" t="n"/>
      <c r="J210" s="28" t="n"/>
      <c r="K210" s="24">
        <f>IF(D210="","",IFERROR(INDEX(Setup!$B$24:$B$59,MATCH(D210,Setup!$A$24:$A$59,0)),"Check category"))</f>
        <v/>
      </c>
      <c r="L210" s="25">
        <f>IF(A210="","",DATE(YEAR(A210),MONTH(A210),1))</f>
        <v/>
      </c>
      <c r="M210" s="26">
        <f>IF(AND(E210="",F210=""),"",N(E210)-N(F210))</f>
        <v/>
      </c>
      <c r="N210" s="28" t="n"/>
    </row>
    <row r="211">
      <c r="A211" s="27" t="n"/>
      <c r="B211" s="28" t="n"/>
      <c r="C211" s="28" t="n"/>
      <c r="D211" s="28" t="n"/>
      <c r="E211" s="29" t="n"/>
      <c r="F211" s="29" t="n"/>
      <c r="G211" s="28" t="n"/>
      <c r="H211" s="28" t="n"/>
      <c r="I211" s="28" t="n"/>
      <c r="J211" s="28" t="n"/>
      <c r="K211" s="24">
        <f>IF(D211="","",IFERROR(INDEX(Setup!$B$24:$B$59,MATCH(D211,Setup!$A$24:$A$59,0)),"Check category"))</f>
        <v/>
      </c>
      <c r="L211" s="25">
        <f>IF(A211="","",DATE(YEAR(A211),MONTH(A211),1))</f>
        <v/>
      </c>
      <c r="M211" s="26">
        <f>IF(AND(E211="",F211=""),"",N(E211)-N(F211))</f>
        <v/>
      </c>
      <c r="N211" s="28" t="n"/>
    </row>
    <row r="212">
      <c r="A212" s="27" t="n"/>
      <c r="B212" s="28" t="n"/>
      <c r="C212" s="28" t="n"/>
      <c r="D212" s="28" t="n"/>
      <c r="E212" s="29" t="n"/>
      <c r="F212" s="29" t="n"/>
      <c r="G212" s="28" t="n"/>
      <c r="H212" s="28" t="n"/>
      <c r="I212" s="28" t="n"/>
      <c r="J212" s="28" t="n"/>
      <c r="K212" s="24">
        <f>IF(D212="","",IFERROR(INDEX(Setup!$B$24:$B$59,MATCH(D212,Setup!$A$24:$A$59,0)),"Check category"))</f>
        <v/>
      </c>
      <c r="L212" s="25">
        <f>IF(A212="","",DATE(YEAR(A212),MONTH(A212),1))</f>
        <v/>
      </c>
      <c r="M212" s="26">
        <f>IF(AND(E212="",F212=""),"",N(E212)-N(F212))</f>
        <v/>
      </c>
      <c r="N212" s="28" t="n"/>
    </row>
    <row r="213">
      <c r="A213" s="27" t="n"/>
      <c r="B213" s="28" t="n"/>
      <c r="C213" s="28" t="n"/>
      <c r="D213" s="28" t="n"/>
      <c r="E213" s="29" t="n"/>
      <c r="F213" s="29" t="n"/>
      <c r="G213" s="28" t="n"/>
      <c r="H213" s="28" t="n"/>
      <c r="I213" s="28" t="n"/>
      <c r="J213" s="28" t="n"/>
      <c r="K213" s="24">
        <f>IF(D213="","",IFERROR(INDEX(Setup!$B$24:$B$59,MATCH(D213,Setup!$A$24:$A$59,0)),"Check category"))</f>
        <v/>
      </c>
      <c r="L213" s="25">
        <f>IF(A213="","",DATE(YEAR(A213),MONTH(A213),1))</f>
        <v/>
      </c>
      <c r="M213" s="26">
        <f>IF(AND(E213="",F213=""),"",N(E213)-N(F213))</f>
        <v/>
      </c>
      <c r="N213" s="28" t="n"/>
    </row>
    <row r="214">
      <c r="A214" s="27" t="n"/>
      <c r="B214" s="28" t="n"/>
      <c r="C214" s="28" t="n"/>
      <c r="D214" s="28" t="n"/>
      <c r="E214" s="29" t="n"/>
      <c r="F214" s="29" t="n"/>
      <c r="G214" s="28" t="n"/>
      <c r="H214" s="28" t="n"/>
      <c r="I214" s="28" t="n"/>
      <c r="J214" s="28" t="n"/>
      <c r="K214" s="24">
        <f>IF(D214="","",IFERROR(INDEX(Setup!$B$24:$B$59,MATCH(D214,Setup!$A$24:$A$59,0)),"Check category"))</f>
        <v/>
      </c>
      <c r="L214" s="25">
        <f>IF(A214="","",DATE(YEAR(A214),MONTH(A214),1))</f>
        <v/>
      </c>
      <c r="M214" s="26">
        <f>IF(AND(E214="",F214=""),"",N(E214)-N(F214))</f>
        <v/>
      </c>
      <c r="N214" s="28" t="n"/>
    </row>
    <row r="215">
      <c r="A215" s="27" t="n"/>
      <c r="B215" s="28" t="n"/>
      <c r="C215" s="28" t="n"/>
      <c r="D215" s="28" t="n"/>
      <c r="E215" s="29" t="n"/>
      <c r="F215" s="29" t="n"/>
      <c r="G215" s="28" t="n"/>
      <c r="H215" s="28" t="n"/>
      <c r="I215" s="28" t="n"/>
      <c r="J215" s="28" t="n"/>
      <c r="K215" s="24">
        <f>IF(D215="","",IFERROR(INDEX(Setup!$B$24:$B$59,MATCH(D215,Setup!$A$24:$A$59,0)),"Check category"))</f>
        <v/>
      </c>
      <c r="L215" s="25">
        <f>IF(A215="","",DATE(YEAR(A215),MONTH(A215),1))</f>
        <v/>
      </c>
      <c r="M215" s="26">
        <f>IF(AND(E215="",F215=""),"",N(E215)-N(F215))</f>
        <v/>
      </c>
      <c r="N215" s="28" t="n"/>
    </row>
    <row r="216">
      <c r="A216" s="27" t="n"/>
      <c r="B216" s="28" t="n"/>
      <c r="C216" s="28" t="n"/>
      <c r="D216" s="28" t="n"/>
      <c r="E216" s="29" t="n"/>
      <c r="F216" s="29" t="n"/>
      <c r="G216" s="28" t="n"/>
      <c r="H216" s="28" t="n"/>
      <c r="I216" s="28" t="n"/>
      <c r="J216" s="28" t="n"/>
      <c r="K216" s="24">
        <f>IF(D216="","",IFERROR(INDEX(Setup!$B$24:$B$59,MATCH(D216,Setup!$A$24:$A$59,0)),"Check category"))</f>
        <v/>
      </c>
      <c r="L216" s="25">
        <f>IF(A216="","",DATE(YEAR(A216),MONTH(A216),1))</f>
        <v/>
      </c>
      <c r="M216" s="26">
        <f>IF(AND(E216="",F216=""),"",N(E216)-N(F216))</f>
        <v/>
      </c>
      <c r="N216" s="28" t="n"/>
    </row>
    <row r="217">
      <c r="A217" s="27" t="n"/>
      <c r="B217" s="28" t="n"/>
      <c r="C217" s="28" t="n"/>
      <c r="D217" s="28" t="n"/>
      <c r="E217" s="29" t="n"/>
      <c r="F217" s="29" t="n"/>
      <c r="G217" s="28" t="n"/>
      <c r="H217" s="28" t="n"/>
      <c r="I217" s="28" t="n"/>
      <c r="J217" s="28" t="n"/>
      <c r="K217" s="24">
        <f>IF(D217="","",IFERROR(INDEX(Setup!$B$24:$B$59,MATCH(D217,Setup!$A$24:$A$59,0)),"Check category"))</f>
        <v/>
      </c>
      <c r="L217" s="25">
        <f>IF(A217="","",DATE(YEAR(A217),MONTH(A217),1))</f>
        <v/>
      </c>
      <c r="M217" s="26">
        <f>IF(AND(E217="",F217=""),"",N(E217)-N(F217))</f>
        <v/>
      </c>
      <c r="N217" s="28" t="n"/>
    </row>
    <row r="218">
      <c r="A218" s="27" t="n"/>
      <c r="B218" s="28" t="n"/>
      <c r="C218" s="28" t="n"/>
      <c r="D218" s="28" t="n"/>
      <c r="E218" s="29" t="n"/>
      <c r="F218" s="29" t="n"/>
      <c r="G218" s="28" t="n"/>
      <c r="H218" s="28" t="n"/>
      <c r="I218" s="28" t="n"/>
      <c r="J218" s="28" t="n"/>
      <c r="K218" s="24">
        <f>IF(D218="","",IFERROR(INDEX(Setup!$B$24:$B$59,MATCH(D218,Setup!$A$24:$A$59,0)),"Check category"))</f>
        <v/>
      </c>
      <c r="L218" s="25">
        <f>IF(A218="","",DATE(YEAR(A218),MONTH(A218),1))</f>
        <v/>
      </c>
      <c r="M218" s="26">
        <f>IF(AND(E218="",F218=""),"",N(E218)-N(F218))</f>
        <v/>
      </c>
      <c r="N218" s="28" t="n"/>
    </row>
    <row r="219">
      <c r="A219" s="27" t="n"/>
      <c r="B219" s="28" t="n"/>
      <c r="C219" s="28" t="n"/>
      <c r="D219" s="28" t="n"/>
      <c r="E219" s="29" t="n"/>
      <c r="F219" s="29" t="n"/>
      <c r="G219" s="28" t="n"/>
      <c r="H219" s="28" t="n"/>
      <c r="I219" s="28" t="n"/>
      <c r="J219" s="28" t="n"/>
      <c r="K219" s="24">
        <f>IF(D219="","",IFERROR(INDEX(Setup!$B$24:$B$59,MATCH(D219,Setup!$A$24:$A$59,0)),"Check category"))</f>
        <v/>
      </c>
      <c r="L219" s="25">
        <f>IF(A219="","",DATE(YEAR(A219),MONTH(A219),1))</f>
        <v/>
      </c>
      <c r="M219" s="26">
        <f>IF(AND(E219="",F219=""),"",N(E219)-N(F219))</f>
        <v/>
      </c>
      <c r="N219" s="28" t="n"/>
    </row>
    <row r="220">
      <c r="A220" s="27" t="n"/>
      <c r="B220" s="28" t="n"/>
      <c r="C220" s="28" t="n"/>
      <c r="D220" s="28" t="n"/>
      <c r="E220" s="29" t="n"/>
      <c r="F220" s="29" t="n"/>
      <c r="G220" s="28" t="n"/>
      <c r="H220" s="28" t="n"/>
      <c r="I220" s="28" t="n"/>
      <c r="J220" s="28" t="n"/>
      <c r="K220" s="24">
        <f>IF(D220="","",IFERROR(INDEX(Setup!$B$24:$B$59,MATCH(D220,Setup!$A$24:$A$59,0)),"Check category"))</f>
        <v/>
      </c>
      <c r="L220" s="25">
        <f>IF(A220="","",DATE(YEAR(A220),MONTH(A220),1))</f>
        <v/>
      </c>
      <c r="M220" s="26">
        <f>IF(AND(E220="",F220=""),"",N(E220)-N(F220))</f>
        <v/>
      </c>
      <c r="N220" s="28" t="n"/>
    </row>
    <row r="221">
      <c r="A221" s="27" t="n"/>
      <c r="B221" s="28" t="n"/>
      <c r="C221" s="28" t="n"/>
      <c r="D221" s="28" t="n"/>
      <c r="E221" s="29" t="n"/>
      <c r="F221" s="29" t="n"/>
      <c r="G221" s="28" t="n"/>
      <c r="H221" s="28" t="n"/>
      <c r="I221" s="28" t="n"/>
      <c r="J221" s="28" t="n"/>
      <c r="K221" s="24">
        <f>IF(D221="","",IFERROR(INDEX(Setup!$B$24:$B$59,MATCH(D221,Setup!$A$24:$A$59,0)),"Check category"))</f>
        <v/>
      </c>
      <c r="L221" s="25">
        <f>IF(A221="","",DATE(YEAR(A221),MONTH(A221),1))</f>
        <v/>
      </c>
      <c r="M221" s="26">
        <f>IF(AND(E221="",F221=""),"",N(E221)-N(F221))</f>
        <v/>
      </c>
      <c r="N221" s="28" t="n"/>
    </row>
    <row r="222">
      <c r="A222" s="27" t="n"/>
      <c r="B222" s="28" t="n"/>
      <c r="C222" s="28" t="n"/>
      <c r="D222" s="28" t="n"/>
      <c r="E222" s="29" t="n"/>
      <c r="F222" s="29" t="n"/>
      <c r="G222" s="28" t="n"/>
      <c r="H222" s="28" t="n"/>
      <c r="I222" s="28" t="n"/>
      <c r="J222" s="28" t="n"/>
      <c r="K222" s="24">
        <f>IF(D222="","",IFERROR(INDEX(Setup!$B$24:$B$59,MATCH(D222,Setup!$A$24:$A$59,0)),"Check category"))</f>
        <v/>
      </c>
      <c r="L222" s="25">
        <f>IF(A222="","",DATE(YEAR(A222),MONTH(A222),1))</f>
        <v/>
      </c>
      <c r="M222" s="26">
        <f>IF(AND(E222="",F222=""),"",N(E222)-N(F222))</f>
        <v/>
      </c>
      <c r="N222" s="28" t="n"/>
    </row>
    <row r="223">
      <c r="A223" s="27" t="n"/>
      <c r="B223" s="28" t="n"/>
      <c r="C223" s="28" t="n"/>
      <c r="D223" s="28" t="n"/>
      <c r="E223" s="29" t="n"/>
      <c r="F223" s="29" t="n"/>
      <c r="G223" s="28" t="n"/>
      <c r="H223" s="28" t="n"/>
      <c r="I223" s="28" t="n"/>
      <c r="J223" s="28" t="n"/>
      <c r="K223" s="24">
        <f>IF(D223="","",IFERROR(INDEX(Setup!$B$24:$B$59,MATCH(D223,Setup!$A$24:$A$59,0)),"Check category"))</f>
        <v/>
      </c>
      <c r="L223" s="25">
        <f>IF(A223="","",DATE(YEAR(A223),MONTH(A223),1))</f>
        <v/>
      </c>
      <c r="M223" s="26">
        <f>IF(AND(E223="",F223=""),"",N(E223)-N(F223))</f>
        <v/>
      </c>
      <c r="N223" s="28" t="n"/>
    </row>
    <row r="224">
      <c r="A224" s="27" t="n"/>
      <c r="B224" s="28" t="n"/>
      <c r="C224" s="28" t="n"/>
      <c r="D224" s="28" t="n"/>
      <c r="E224" s="29" t="n"/>
      <c r="F224" s="29" t="n"/>
      <c r="G224" s="28" t="n"/>
      <c r="H224" s="28" t="n"/>
      <c r="I224" s="28" t="n"/>
      <c r="J224" s="28" t="n"/>
      <c r="K224" s="24">
        <f>IF(D224="","",IFERROR(INDEX(Setup!$B$24:$B$59,MATCH(D224,Setup!$A$24:$A$59,0)),"Check category"))</f>
        <v/>
      </c>
      <c r="L224" s="25">
        <f>IF(A224="","",DATE(YEAR(A224),MONTH(A224),1))</f>
        <v/>
      </c>
      <c r="M224" s="26">
        <f>IF(AND(E224="",F224=""),"",N(E224)-N(F224))</f>
        <v/>
      </c>
      <c r="N224" s="28" t="n"/>
    </row>
    <row r="225">
      <c r="A225" s="27" t="n"/>
      <c r="B225" s="28" t="n"/>
      <c r="C225" s="28" t="n"/>
      <c r="D225" s="28" t="n"/>
      <c r="E225" s="29" t="n"/>
      <c r="F225" s="29" t="n"/>
      <c r="G225" s="28" t="n"/>
      <c r="H225" s="28" t="n"/>
      <c r="I225" s="28" t="n"/>
      <c r="J225" s="28" t="n"/>
      <c r="K225" s="24">
        <f>IF(D225="","",IFERROR(INDEX(Setup!$B$24:$B$59,MATCH(D225,Setup!$A$24:$A$59,0)),"Check category"))</f>
        <v/>
      </c>
      <c r="L225" s="25">
        <f>IF(A225="","",DATE(YEAR(A225),MONTH(A225),1))</f>
        <v/>
      </c>
      <c r="M225" s="26">
        <f>IF(AND(E225="",F225=""),"",N(E225)-N(F225))</f>
        <v/>
      </c>
      <c r="N225" s="28" t="n"/>
    </row>
    <row r="226">
      <c r="A226" s="27" t="n"/>
      <c r="B226" s="28" t="n"/>
      <c r="C226" s="28" t="n"/>
      <c r="D226" s="28" t="n"/>
      <c r="E226" s="29" t="n"/>
      <c r="F226" s="29" t="n"/>
      <c r="G226" s="28" t="n"/>
      <c r="H226" s="28" t="n"/>
      <c r="I226" s="28" t="n"/>
      <c r="J226" s="28" t="n"/>
      <c r="K226" s="24">
        <f>IF(D226="","",IFERROR(INDEX(Setup!$B$24:$B$59,MATCH(D226,Setup!$A$24:$A$59,0)),"Check category"))</f>
        <v/>
      </c>
      <c r="L226" s="25">
        <f>IF(A226="","",DATE(YEAR(A226),MONTH(A226),1))</f>
        <v/>
      </c>
      <c r="M226" s="26">
        <f>IF(AND(E226="",F226=""),"",N(E226)-N(F226))</f>
        <v/>
      </c>
      <c r="N226" s="28" t="n"/>
    </row>
    <row r="227">
      <c r="A227" s="27" t="n"/>
      <c r="B227" s="28" t="n"/>
      <c r="C227" s="28" t="n"/>
      <c r="D227" s="28" t="n"/>
      <c r="E227" s="29" t="n"/>
      <c r="F227" s="29" t="n"/>
      <c r="G227" s="28" t="n"/>
      <c r="H227" s="28" t="n"/>
      <c r="I227" s="28" t="n"/>
      <c r="J227" s="28" t="n"/>
      <c r="K227" s="24">
        <f>IF(D227="","",IFERROR(INDEX(Setup!$B$24:$B$59,MATCH(D227,Setup!$A$24:$A$59,0)),"Check category"))</f>
        <v/>
      </c>
      <c r="L227" s="25">
        <f>IF(A227="","",DATE(YEAR(A227),MONTH(A227),1))</f>
        <v/>
      </c>
      <c r="M227" s="26">
        <f>IF(AND(E227="",F227=""),"",N(E227)-N(F227))</f>
        <v/>
      </c>
      <c r="N227" s="28" t="n"/>
    </row>
    <row r="228">
      <c r="A228" s="27" t="n"/>
      <c r="B228" s="28" t="n"/>
      <c r="C228" s="28" t="n"/>
      <c r="D228" s="28" t="n"/>
      <c r="E228" s="29" t="n"/>
      <c r="F228" s="29" t="n"/>
      <c r="G228" s="28" t="n"/>
      <c r="H228" s="28" t="n"/>
      <c r="I228" s="28" t="n"/>
      <c r="J228" s="28" t="n"/>
      <c r="K228" s="24">
        <f>IF(D228="","",IFERROR(INDEX(Setup!$B$24:$B$59,MATCH(D228,Setup!$A$24:$A$59,0)),"Check category"))</f>
        <v/>
      </c>
      <c r="L228" s="25">
        <f>IF(A228="","",DATE(YEAR(A228),MONTH(A228),1))</f>
        <v/>
      </c>
      <c r="M228" s="26">
        <f>IF(AND(E228="",F228=""),"",N(E228)-N(F228))</f>
        <v/>
      </c>
      <c r="N228" s="28" t="n"/>
    </row>
    <row r="229">
      <c r="A229" s="27" t="n"/>
      <c r="B229" s="28" t="n"/>
      <c r="C229" s="28" t="n"/>
      <c r="D229" s="28" t="n"/>
      <c r="E229" s="29" t="n"/>
      <c r="F229" s="29" t="n"/>
      <c r="G229" s="28" t="n"/>
      <c r="H229" s="28" t="n"/>
      <c r="I229" s="28" t="n"/>
      <c r="J229" s="28" t="n"/>
      <c r="K229" s="24">
        <f>IF(D229="","",IFERROR(INDEX(Setup!$B$24:$B$59,MATCH(D229,Setup!$A$24:$A$59,0)),"Check category"))</f>
        <v/>
      </c>
      <c r="L229" s="25">
        <f>IF(A229="","",DATE(YEAR(A229),MONTH(A229),1))</f>
        <v/>
      </c>
      <c r="M229" s="26">
        <f>IF(AND(E229="",F229=""),"",N(E229)-N(F229))</f>
        <v/>
      </c>
      <c r="N229" s="28" t="n"/>
    </row>
    <row r="230">
      <c r="A230" s="27" t="n"/>
      <c r="B230" s="28" t="n"/>
      <c r="C230" s="28" t="n"/>
      <c r="D230" s="28" t="n"/>
      <c r="E230" s="29" t="n"/>
      <c r="F230" s="29" t="n"/>
      <c r="G230" s="28" t="n"/>
      <c r="H230" s="28" t="n"/>
      <c r="I230" s="28" t="n"/>
      <c r="J230" s="28" t="n"/>
      <c r="K230" s="24">
        <f>IF(D230="","",IFERROR(INDEX(Setup!$B$24:$B$59,MATCH(D230,Setup!$A$24:$A$59,0)),"Check category"))</f>
        <v/>
      </c>
      <c r="L230" s="25">
        <f>IF(A230="","",DATE(YEAR(A230),MONTH(A230),1))</f>
        <v/>
      </c>
      <c r="M230" s="26">
        <f>IF(AND(E230="",F230=""),"",N(E230)-N(F230))</f>
        <v/>
      </c>
      <c r="N230" s="28" t="n"/>
    </row>
    <row r="231">
      <c r="A231" s="27" t="n"/>
      <c r="B231" s="28" t="n"/>
      <c r="C231" s="28" t="n"/>
      <c r="D231" s="28" t="n"/>
      <c r="E231" s="29" t="n"/>
      <c r="F231" s="29" t="n"/>
      <c r="G231" s="28" t="n"/>
      <c r="H231" s="28" t="n"/>
      <c r="I231" s="28" t="n"/>
      <c r="J231" s="28" t="n"/>
      <c r="K231" s="24">
        <f>IF(D231="","",IFERROR(INDEX(Setup!$B$24:$B$59,MATCH(D231,Setup!$A$24:$A$59,0)),"Check category"))</f>
        <v/>
      </c>
      <c r="L231" s="25">
        <f>IF(A231="","",DATE(YEAR(A231),MONTH(A231),1))</f>
        <v/>
      </c>
      <c r="M231" s="26">
        <f>IF(AND(E231="",F231=""),"",N(E231)-N(F231))</f>
        <v/>
      </c>
      <c r="N231" s="28" t="n"/>
    </row>
    <row r="232">
      <c r="A232" s="27" t="n"/>
      <c r="B232" s="28" t="n"/>
      <c r="C232" s="28" t="n"/>
      <c r="D232" s="28" t="n"/>
      <c r="E232" s="29" t="n"/>
      <c r="F232" s="29" t="n"/>
      <c r="G232" s="28" t="n"/>
      <c r="H232" s="28" t="n"/>
      <c r="I232" s="28" t="n"/>
      <c r="J232" s="28" t="n"/>
      <c r="K232" s="24">
        <f>IF(D232="","",IFERROR(INDEX(Setup!$B$24:$B$59,MATCH(D232,Setup!$A$24:$A$59,0)),"Check category"))</f>
        <v/>
      </c>
      <c r="L232" s="25">
        <f>IF(A232="","",DATE(YEAR(A232),MONTH(A232),1))</f>
        <v/>
      </c>
      <c r="M232" s="26">
        <f>IF(AND(E232="",F232=""),"",N(E232)-N(F232))</f>
        <v/>
      </c>
      <c r="N232" s="28" t="n"/>
    </row>
    <row r="233">
      <c r="A233" s="27" t="n"/>
      <c r="B233" s="28" t="n"/>
      <c r="C233" s="28" t="n"/>
      <c r="D233" s="28" t="n"/>
      <c r="E233" s="29" t="n"/>
      <c r="F233" s="29" t="n"/>
      <c r="G233" s="28" t="n"/>
      <c r="H233" s="28" t="n"/>
      <c r="I233" s="28" t="n"/>
      <c r="J233" s="28" t="n"/>
      <c r="K233" s="24">
        <f>IF(D233="","",IFERROR(INDEX(Setup!$B$24:$B$59,MATCH(D233,Setup!$A$24:$A$59,0)),"Check category"))</f>
        <v/>
      </c>
      <c r="L233" s="25">
        <f>IF(A233="","",DATE(YEAR(A233),MONTH(A233),1))</f>
        <v/>
      </c>
      <c r="M233" s="26">
        <f>IF(AND(E233="",F233=""),"",N(E233)-N(F233))</f>
        <v/>
      </c>
      <c r="N233" s="28" t="n"/>
    </row>
    <row r="234">
      <c r="A234" s="27" t="n"/>
      <c r="B234" s="28" t="n"/>
      <c r="C234" s="28" t="n"/>
      <c r="D234" s="28" t="n"/>
      <c r="E234" s="29" t="n"/>
      <c r="F234" s="29" t="n"/>
      <c r="G234" s="28" t="n"/>
      <c r="H234" s="28" t="n"/>
      <c r="I234" s="28" t="n"/>
      <c r="J234" s="28" t="n"/>
      <c r="K234" s="24">
        <f>IF(D234="","",IFERROR(INDEX(Setup!$B$24:$B$59,MATCH(D234,Setup!$A$24:$A$59,0)),"Check category"))</f>
        <v/>
      </c>
      <c r="L234" s="25">
        <f>IF(A234="","",DATE(YEAR(A234),MONTH(A234),1))</f>
        <v/>
      </c>
      <c r="M234" s="26">
        <f>IF(AND(E234="",F234=""),"",N(E234)-N(F234))</f>
        <v/>
      </c>
      <c r="N234" s="28" t="n"/>
    </row>
    <row r="235">
      <c r="A235" s="27" t="n"/>
      <c r="B235" s="28" t="n"/>
      <c r="C235" s="28" t="n"/>
      <c r="D235" s="28" t="n"/>
      <c r="E235" s="29" t="n"/>
      <c r="F235" s="29" t="n"/>
      <c r="G235" s="28" t="n"/>
      <c r="H235" s="28" t="n"/>
      <c r="I235" s="28" t="n"/>
      <c r="J235" s="28" t="n"/>
      <c r="K235" s="24">
        <f>IF(D235="","",IFERROR(INDEX(Setup!$B$24:$B$59,MATCH(D235,Setup!$A$24:$A$59,0)),"Check category"))</f>
        <v/>
      </c>
      <c r="L235" s="25">
        <f>IF(A235="","",DATE(YEAR(A235),MONTH(A235),1))</f>
        <v/>
      </c>
      <c r="M235" s="26">
        <f>IF(AND(E235="",F235=""),"",N(E235)-N(F235))</f>
        <v/>
      </c>
      <c r="N235" s="28" t="n"/>
    </row>
    <row r="236">
      <c r="A236" s="27" t="n"/>
      <c r="B236" s="28" t="n"/>
      <c r="C236" s="28" t="n"/>
      <c r="D236" s="28" t="n"/>
      <c r="E236" s="29" t="n"/>
      <c r="F236" s="29" t="n"/>
      <c r="G236" s="28" t="n"/>
      <c r="H236" s="28" t="n"/>
      <c r="I236" s="28" t="n"/>
      <c r="J236" s="28" t="n"/>
      <c r="K236" s="24">
        <f>IF(D236="","",IFERROR(INDEX(Setup!$B$24:$B$59,MATCH(D236,Setup!$A$24:$A$59,0)),"Check category"))</f>
        <v/>
      </c>
      <c r="L236" s="25">
        <f>IF(A236="","",DATE(YEAR(A236),MONTH(A236),1))</f>
        <v/>
      </c>
      <c r="M236" s="26">
        <f>IF(AND(E236="",F236=""),"",N(E236)-N(F236))</f>
        <v/>
      </c>
      <c r="N236" s="28" t="n"/>
    </row>
    <row r="237">
      <c r="A237" s="27" t="n"/>
      <c r="B237" s="28" t="n"/>
      <c r="C237" s="28" t="n"/>
      <c r="D237" s="28" t="n"/>
      <c r="E237" s="29" t="n"/>
      <c r="F237" s="29" t="n"/>
      <c r="G237" s="28" t="n"/>
      <c r="H237" s="28" t="n"/>
      <c r="I237" s="28" t="n"/>
      <c r="J237" s="28" t="n"/>
      <c r="K237" s="24">
        <f>IF(D237="","",IFERROR(INDEX(Setup!$B$24:$B$59,MATCH(D237,Setup!$A$24:$A$59,0)),"Check category"))</f>
        <v/>
      </c>
      <c r="L237" s="25">
        <f>IF(A237="","",DATE(YEAR(A237),MONTH(A237),1))</f>
        <v/>
      </c>
      <c r="M237" s="26">
        <f>IF(AND(E237="",F237=""),"",N(E237)-N(F237))</f>
        <v/>
      </c>
      <c r="N237" s="28" t="n"/>
    </row>
    <row r="238">
      <c r="A238" s="27" t="n"/>
      <c r="B238" s="28" t="n"/>
      <c r="C238" s="28" t="n"/>
      <c r="D238" s="28" t="n"/>
      <c r="E238" s="29" t="n"/>
      <c r="F238" s="29" t="n"/>
      <c r="G238" s="28" t="n"/>
      <c r="H238" s="28" t="n"/>
      <c r="I238" s="28" t="n"/>
      <c r="J238" s="28" t="n"/>
      <c r="K238" s="24">
        <f>IF(D238="","",IFERROR(INDEX(Setup!$B$24:$B$59,MATCH(D238,Setup!$A$24:$A$59,0)),"Check category"))</f>
        <v/>
      </c>
      <c r="L238" s="25">
        <f>IF(A238="","",DATE(YEAR(A238),MONTH(A238),1))</f>
        <v/>
      </c>
      <c r="M238" s="26">
        <f>IF(AND(E238="",F238=""),"",N(E238)-N(F238))</f>
        <v/>
      </c>
      <c r="N238" s="28" t="n"/>
    </row>
    <row r="239">
      <c r="A239" s="27" t="n"/>
      <c r="B239" s="28" t="n"/>
      <c r="C239" s="28" t="n"/>
      <c r="D239" s="28" t="n"/>
      <c r="E239" s="29" t="n"/>
      <c r="F239" s="29" t="n"/>
      <c r="G239" s="28" t="n"/>
      <c r="H239" s="28" t="n"/>
      <c r="I239" s="28" t="n"/>
      <c r="J239" s="28" t="n"/>
      <c r="K239" s="24">
        <f>IF(D239="","",IFERROR(INDEX(Setup!$B$24:$B$59,MATCH(D239,Setup!$A$24:$A$59,0)),"Check category"))</f>
        <v/>
      </c>
      <c r="L239" s="25">
        <f>IF(A239="","",DATE(YEAR(A239),MONTH(A239),1))</f>
        <v/>
      </c>
      <c r="M239" s="26">
        <f>IF(AND(E239="",F239=""),"",N(E239)-N(F239))</f>
        <v/>
      </c>
      <c r="N239" s="28" t="n"/>
    </row>
    <row r="240">
      <c r="A240" s="27" t="n"/>
      <c r="B240" s="28" t="n"/>
      <c r="C240" s="28" t="n"/>
      <c r="D240" s="28" t="n"/>
      <c r="E240" s="29" t="n"/>
      <c r="F240" s="29" t="n"/>
      <c r="G240" s="28" t="n"/>
      <c r="H240" s="28" t="n"/>
      <c r="I240" s="28" t="n"/>
      <c r="J240" s="28" t="n"/>
      <c r="K240" s="24">
        <f>IF(D240="","",IFERROR(INDEX(Setup!$B$24:$B$59,MATCH(D240,Setup!$A$24:$A$59,0)),"Check category"))</f>
        <v/>
      </c>
      <c r="L240" s="25">
        <f>IF(A240="","",DATE(YEAR(A240),MONTH(A240),1))</f>
        <v/>
      </c>
      <c r="M240" s="26">
        <f>IF(AND(E240="",F240=""),"",N(E240)-N(F240))</f>
        <v/>
      </c>
      <c r="N240" s="28" t="n"/>
    </row>
    <row r="241">
      <c r="A241" s="27" t="n"/>
      <c r="B241" s="28" t="n"/>
      <c r="C241" s="28" t="n"/>
      <c r="D241" s="28" t="n"/>
      <c r="E241" s="29" t="n"/>
      <c r="F241" s="29" t="n"/>
      <c r="G241" s="28" t="n"/>
      <c r="H241" s="28" t="n"/>
      <c r="I241" s="28" t="n"/>
      <c r="J241" s="28" t="n"/>
      <c r="K241" s="24">
        <f>IF(D241="","",IFERROR(INDEX(Setup!$B$24:$B$59,MATCH(D241,Setup!$A$24:$A$59,0)),"Check category"))</f>
        <v/>
      </c>
      <c r="L241" s="25">
        <f>IF(A241="","",DATE(YEAR(A241),MONTH(A241),1))</f>
        <v/>
      </c>
      <c r="M241" s="26">
        <f>IF(AND(E241="",F241=""),"",N(E241)-N(F241))</f>
        <v/>
      </c>
      <c r="N241" s="28" t="n"/>
    </row>
    <row r="242">
      <c r="A242" s="27" t="n"/>
      <c r="B242" s="28" t="n"/>
      <c r="C242" s="28" t="n"/>
      <c r="D242" s="28" t="n"/>
      <c r="E242" s="29" t="n"/>
      <c r="F242" s="29" t="n"/>
      <c r="G242" s="28" t="n"/>
      <c r="H242" s="28" t="n"/>
      <c r="I242" s="28" t="n"/>
      <c r="J242" s="28" t="n"/>
      <c r="K242" s="24">
        <f>IF(D242="","",IFERROR(INDEX(Setup!$B$24:$B$59,MATCH(D242,Setup!$A$24:$A$59,0)),"Check category"))</f>
        <v/>
      </c>
      <c r="L242" s="25">
        <f>IF(A242="","",DATE(YEAR(A242),MONTH(A242),1))</f>
        <v/>
      </c>
      <c r="M242" s="26">
        <f>IF(AND(E242="",F242=""),"",N(E242)-N(F242))</f>
        <v/>
      </c>
      <c r="N242" s="28" t="n"/>
    </row>
    <row r="243">
      <c r="A243" s="27" t="n"/>
      <c r="B243" s="28" t="n"/>
      <c r="C243" s="28" t="n"/>
      <c r="D243" s="28" t="n"/>
      <c r="E243" s="29" t="n"/>
      <c r="F243" s="29" t="n"/>
      <c r="G243" s="28" t="n"/>
      <c r="H243" s="28" t="n"/>
      <c r="I243" s="28" t="n"/>
      <c r="J243" s="28" t="n"/>
      <c r="K243" s="24">
        <f>IF(D243="","",IFERROR(INDEX(Setup!$B$24:$B$59,MATCH(D243,Setup!$A$24:$A$59,0)),"Check category"))</f>
        <v/>
      </c>
      <c r="L243" s="25">
        <f>IF(A243="","",DATE(YEAR(A243),MONTH(A243),1))</f>
        <v/>
      </c>
      <c r="M243" s="26">
        <f>IF(AND(E243="",F243=""),"",N(E243)-N(F243))</f>
        <v/>
      </c>
      <c r="N243" s="28" t="n"/>
    </row>
    <row r="244">
      <c r="A244" s="27" t="n"/>
      <c r="B244" s="28" t="n"/>
      <c r="C244" s="28" t="n"/>
      <c r="D244" s="28" t="n"/>
      <c r="E244" s="29" t="n"/>
      <c r="F244" s="29" t="n"/>
      <c r="G244" s="28" t="n"/>
      <c r="H244" s="28" t="n"/>
      <c r="I244" s="28" t="n"/>
      <c r="J244" s="28" t="n"/>
      <c r="K244" s="24">
        <f>IF(D244="","",IFERROR(INDEX(Setup!$B$24:$B$59,MATCH(D244,Setup!$A$24:$A$59,0)),"Check category"))</f>
        <v/>
      </c>
      <c r="L244" s="25">
        <f>IF(A244="","",DATE(YEAR(A244),MONTH(A244),1))</f>
        <v/>
      </c>
      <c r="M244" s="26">
        <f>IF(AND(E244="",F244=""),"",N(E244)-N(F244))</f>
        <v/>
      </c>
      <c r="N244" s="28" t="n"/>
    </row>
    <row r="245">
      <c r="A245" s="27" t="n"/>
      <c r="B245" s="28" t="n"/>
      <c r="C245" s="28" t="n"/>
      <c r="D245" s="28" t="n"/>
      <c r="E245" s="29" t="n"/>
      <c r="F245" s="29" t="n"/>
      <c r="G245" s="28" t="n"/>
      <c r="H245" s="28" t="n"/>
      <c r="I245" s="28" t="n"/>
      <c r="J245" s="28" t="n"/>
      <c r="K245" s="24">
        <f>IF(D245="","",IFERROR(INDEX(Setup!$B$24:$B$59,MATCH(D245,Setup!$A$24:$A$59,0)),"Check category"))</f>
        <v/>
      </c>
      <c r="L245" s="25">
        <f>IF(A245="","",DATE(YEAR(A245),MONTH(A245),1))</f>
        <v/>
      </c>
      <c r="M245" s="26">
        <f>IF(AND(E245="",F245=""),"",N(E245)-N(F245))</f>
        <v/>
      </c>
      <c r="N245" s="28" t="n"/>
    </row>
    <row r="246">
      <c r="A246" s="27" t="n"/>
      <c r="B246" s="28" t="n"/>
      <c r="C246" s="28" t="n"/>
      <c r="D246" s="28" t="n"/>
      <c r="E246" s="29" t="n"/>
      <c r="F246" s="29" t="n"/>
      <c r="G246" s="28" t="n"/>
      <c r="H246" s="28" t="n"/>
      <c r="I246" s="28" t="n"/>
      <c r="J246" s="28" t="n"/>
      <c r="K246" s="24">
        <f>IF(D246="","",IFERROR(INDEX(Setup!$B$24:$B$59,MATCH(D246,Setup!$A$24:$A$59,0)),"Check category"))</f>
        <v/>
      </c>
      <c r="L246" s="25">
        <f>IF(A246="","",DATE(YEAR(A246),MONTH(A246),1))</f>
        <v/>
      </c>
      <c r="M246" s="26">
        <f>IF(AND(E246="",F246=""),"",N(E246)-N(F246))</f>
        <v/>
      </c>
      <c r="N246" s="28" t="n"/>
    </row>
    <row r="247">
      <c r="A247" s="27" t="n"/>
      <c r="B247" s="28" t="n"/>
      <c r="C247" s="28" t="n"/>
      <c r="D247" s="28" t="n"/>
      <c r="E247" s="29" t="n"/>
      <c r="F247" s="29" t="n"/>
      <c r="G247" s="28" t="n"/>
      <c r="H247" s="28" t="n"/>
      <c r="I247" s="28" t="n"/>
      <c r="J247" s="28" t="n"/>
      <c r="K247" s="24">
        <f>IF(D247="","",IFERROR(INDEX(Setup!$B$24:$B$59,MATCH(D247,Setup!$A$24:$A$59,0)),"Check category"))</f>
        <v/>
      </c>
      <c r="L247" s="25">
        <f>IF(A247="","",DATE(YEAR(A247),MONTH(A247),1))</f>
        <v/>
      </c>
      <c r="M247" s="26">
        <f>IF(AND(E247="",F247=""),"",N(E247)-N(F247))</f>
        <v/>
      </c>
      <c r="N247" s="28" t="n"/>
    </row>
    <row r="248">
      <c r="A248" s="27" t="n"/>
      <c r="B248" s="28" t="n"/>
      <c r="C248" s="28" t="n"/>
      <c r="D248" s="28" t="n"/>
      <c r="E248" s="29" t="n"/>
      <c r="F248" s="29" t="n"/>
      <c r="G248" s="28" t="n"/>
      <c r="H248" s="28" t="n"/>
      <c r="I248" s="28" t="n"/>
      <c r="J248" s="28" t="n"/>
      <c r="K248" s="24">
        <f>IF(D248="","",IFERROR(INDEX(Setup!$B$24:$B$59,MATCH(D248,Setup!$A$24:$A$59,0)),"Check category"))</f>
        <v/>
      </c>
      <c r="L248" s="25">
        <f>IF(A248="","",DATE(YEAR(A248),MONTH(A248),1))</f>
        <v/>
      </c>
      <c r="M248" s="26">
        <f>IF(AND(E248="",F248=""),"",N(E248)-N(F248))</f>
        <v/>
      </c>
      <c r="N248" s="28" t="n"/>
    </row>
    <row r="249">
      <c r="A249" s="27" t="n"/>
      <c r="B249" s="28" t="n"/>
      <c r="C249" s="28" t="n"/>
      <c r="D249" s="28" t="n"/>
      <c r="E249" s="29" t="n"/>
      <c r="F249" s="29" t="n"/>
      <c r="G249" s="28" t="n"/>
      <c r="H249" s="28" t="n"/>
      <c r="I249" s="28" t="n"/>
      <c r="J249" s="28" t="n"/>
      <c r="K249" s="24">
        <f>IF(D249="","",IFERROR(INDEX(Setup!$B$24:$B$59,MATCH(D249,Setup!$A$24:$A$59,0)),"Check category"))</f>
        <v/>
      </c>
      <c r="L249" s="25">
        <f>IF(A249="","",DATE(YEAR(A249),MONTH(A249),1))</f>
        <v/>
      </c>
      <c r="M249" s="26">
        <f>IF(AND(E249="",F249=""),"",N(E249)-N(F249))</f>
        <v/>
      </c>
      <c r="N249" s="28" t="n"/>
    </row>
    <row r="250">
      <c r="A250" s="27" t="n"/>
      <c r="B250" s="28" t="n"/>
      <c r="C250" s="28" t="n"/>
      <c r="D250" s="28" t="n"/>
      <c r="E250" s="29" t="n"/>
      <c r="F250" s="29" t="n"/>
      <c r="G250" s="28" t="n"/>
      <c r="H250" s="28" t="n"/>
      <c r="I250" s="28" t="n"/>
      <c r="J250" s="28" t="n"/>
      <c r="K250" s="24">
        <f>IF(D250="","",IFERROR(INDEX(Setup!$B$24:$B$59,MATCH(D250,Setup!$A$24:$A$59,0)),"Check category"))</f>
        <v/>
      </c>
      <c r="L250" s="25">
        <f>IF(A250="","",DATE(YEAR(A250),MONTH(A250),1))</f>
        <v/>
      </c>
      <c r="M250" s="26">
        <f>IF(AND(E250="",F250=""),"",N(E250)-N(F250))</f>
        <v/>
      </c>
      <c r="N250" s="28" t="n"/>
    </row>
    <row r="251">
      <c r="A251" s="27" t="n"/>
      <c r="B251" s="28" t="n"/>
      <c r="C251" s="28" t="n"/>
      <c r="D251" s="28" t="n"/>
      <c r="E251" s="29" t="n"/>
      <c r="F251" s="29" t="n"/>
      <c r="G251" s="28" t="n"/>
      <c r="H251" s="28" t="n"/>
      <c r="I251" s="28" t="n"/>
      <c r="J251" s="28" t="n"/>
      <c r="K251" s="24">
        <f>IF(D251="","",IFERROR(INDEX(Setup!$B$24:$B$59,MATCH(D251,Setup!$A$24:$A$59,0)),"Check category"))</f>
        <v/>
      </c>
      <c r="L251" s="25">
        <f>IF(A251="","",DATE(YEAR(A251),MONTH(A251),1))</f>
        <v/>
      </c>
      <c r="M251" s="26">
        <f>IF(AND(E251="",F251=""),"",N(E251)-N(F251))</f>
        <v/>
      </c>
      <c r="N251" s="28" t="n"/>
    </row>
    <row r="252">
      <c r="A252" s="27" t="n"/>
      <c r="B252" s="28" t="n"/>
      <c r="C252" s="28" t="n"/>
      <c r="D252" s="28" t="n"/>
      <c r="E252" s="29" t="n"/>
      <c r="F252" s="29" t="n"/>
      <c r="G252" s="28" t="n"/>
      <c r="H252" s="28" t="n"/>
      <c r="I252" s="28" t="n"/>
      <c r="J252" s="28" t="n"/>
      <c r="K252" s="24">
        <f>IF(D252="","",IFERROR(INDEX(Setup!$B$24:$B$59,MATCH(D252,Setup!$A$24:$A$59,0)),"Check category"))</f>
        <v/>
      </c>
      <c r="L252" s="25">
        <f>IF(A252="","",DATE(YEAR(A252),MONTH(A252),1))</f>
        <v/>
      </c>
      <c r="M252" s="26">
        <f>IF(AND(E252="",F252=""),"",N(E252)-N(F252))</f>
        <v/>
      </c>
      <c r="N252" s="28" t="n"/>
    </row>
    <row r="253">
      <c r="A253" s="27" t="n"/>
      <c r="B253" s="28" t="n"/>
      <c r="C253" s="28" t="n"/>
      <c r="D253" s="28" t="n"/>
      <c r="E253" s="29" t="n"/>
      <c r="F253" s="29" t="n"/>
      <c r="G253" s="28" t="n"/>
      <c r="H253" s="28" t="n"/>
      <c r="I253" s="28" t="n"/>
      <c r="J253" s="28" t="n"/>
      <c r="K253" s="24">
        <f>IF(D253="","",IFERROR(INDEX(Setup!$B$24:$B$59,MATCH(D253,Setup!$A$24:$A$59,0)),"Check category"))</f>
        <v/>
      </c>
      <c r="L253" s="25">
        <f>IF(A253="","",DATE(YEAR(A253),MONTH(A253),1))</f>
        <v/>
      </c>
      <c r="M253" s="26">
        <f>IF(AND(E253="",F253=""),"",N(E253)-N(F253))</f>
        <v/>
      </c>
      <c r="N253" s="28" t="n"/>
    </row>
    <row r="254">
      <c r="A254" s="27" t="n"/>
      <c r="B254" s="28" t="n"/>
      <c r="C254" s="28" t="n"/>
      <c r="D254" s="28" t="n"/>
      <c r="E254" s="29" t="n"/>
      <c r="F254" s="29" t="n"/>
      <c r="G254" s="28" t="n"/>
      <c r="H254" s="28" t="n"/>
      <c r="I254" s="28" t="n"/>
      <c r="J254" s="28" t="n"/>
      <c r="K254" s="24">
        <f>IF(D254="","",IFERROR(INDEX(Setup!$B$24:$B$59,MATCH(D254,Setup!$A$24:$A$59,0)),"Check category"))</f>
        <v/>
      </c>
      <c r="L254" s="25">
        <f>IF(A254="","",DATE(YEAR(A254),MONTH(A254),1))</f>
        <v/>
      </c>
      <c r="M254" s="26">
        <f>IF(AND(E254="",F254=""),"",N(E254)-N(F254))</f>
        <v/>
      </c>
      <c r="N254" s="28" t="n"/>
    </row>
    <row r="255">
      <c r="A255" s="27" t="n"/>
      <c r="B255" s="28" t="n"/>
      <c r="C255" s="28" t="n"/>
      <c r="D255" s="28" t="n"/>
      <c r="E255" s="29" t="n"/>
      <c r="F255" s="29" t="n"/>
      <c r="G255" s="28" t="n"/>
      <c r="H255" s="28" t="n"/>
      <c r="I255" s="28" t="n"/>
      <c r="J255" s="28" t="n"/>
      <c r="K255" s="24">
        <f>IF(D255="","",IFERROR(INDEX(Setup!$B$24:$B$59,MATCH(D255,Setup!$A$24:$A$59,0)),"Check category"))</f>
        <v/>
      </c>
      <c r="L255" s="25">
        <f>IF(A255="","",DATE(YEAR(A255),MONTH(A255),1))</f>
        <v/>
      </c>
      <c r="M255" s="26">
        <f>IF(AND(E255="",F255=""),"",N(E255)-N(F255))</f>
        <v/>
      </c>
      <c r="N255" s="28" t="n"/>
    </row>
    <row r="256">
      <c r="A256" s="27" t="n"/>
      <c r="B256" s="28" t="n"/>
      <c r="C256" s="28" t="n"/>
      <c r="D256" s="28" t="n"/>
      <c r="E256" s="29" t="n"/>
      <c r="F256" s="29" t="n"/>
      <c r="G256" s="28" t="n"/>
      <c r="H256" s="28" t="n"/>
      <c r="I256" s="28" t="n"/>
      <c r="J256" s="28" t="n"/>
      <c r="K256" s="24">
        <f>IF(D256="","",IFERROR(INDEX(Setup!$B$24:$B$59,MATCH(D256,Setup!$A$24:$A$59,0)),"Check category"))</f>
        <v/>
      </c>
      <c r="L256" s="25">
        <f>IF(A256="","",DATE(YEAR(A256),MONTH(A256),1))</f>
        <v/>
      </c>
      <c r="M256" s="26">
        <f>IF(AND(E256="",F256=""),"",N(E256)-N(F256))</f>
        <v/>
      </c>
      <c r="N256" s="28" t="n"/>
    </row>
    <row r="257">
      <c r="A257" s="27" t="n"/>
      <c r="B257" s="28" t="n"/>
      <c r="C257" s="28" t="n"/>
      <c r="D257" s="28" t="n"/>
      <c r="E257" s="29" t="n"/>
      <c r="F257" s="29" t="n"/>
      <c r="G257" s="28" t="n"/>
      <c r="H257" s="28" t="n"/>
      <c r="I257" s="28" t="n"/>
      <c r="J257" s="28" t="n"/>
      <c r="K257" s="24">
        <f>IF(D257="","",IFERROR(INDEX(Setup!$B$24:$B$59,MATCH(D257,Setup!$A$24:$A$59,0)),"Check category"))</f>
        <v/>
      </c>
      <c r="L257" s="25">
        <f>IF(A257="","",DATE(YEAR(A257),MONTH(A257),1))</f>
        <v/>
      </c>
      <c r="M257" s="26">
        <f>IF(AND(E257="",F257=""),"",N(E257)-N(F257))</f>
        <v/>
      </c>
      <c r="N257" s="28" t="n"/>
    </row>
    <row r="258">
      <c r="A258" s="27" t="n"/>
      <c r="B258" s="28" t="n"/>
      <c r="C258" s="28" t="n"/>
      <c r="D258" s="28" t="n"/>
      <c r="E258" s="29" t="n"/>
      <c r="F258" s="29" t="n"/>
      <c r="G258" s="28" t="n"/>
      <c r="H258" s="28" t="n"/>
      <c r="I258" s="28" t="n"/>
      <c r="J258" s="28" t="n"/>
      <c r="K258" s="24">
        <f>IF(D258="","",IFERROR(INDEX(Setup!$B$24:$B$59,MATCH(D258,Setup!$A$24:$A$59,0)),"Check category"))</f>
        <v/>
      </c>
      <c r="L258" s="25">
        <f>IF(A258="","",DATE(YEAR(A258),MONTH(A258),1))</f>
        <v/>
      </c>
      <c r="M258" s="26">
        <f>IF(AND(E258="",F258=""),"",N(E258)-N(F258))</f>
        <v/>
      </c>
      <c r="N258" s="28" t="n"/>
    </row>
    <row r="259">
      <c r="A259" s="27" t="n"/>
      <c r="B259" s="28" t="n"/>
      <c r="C259" s="28" t="n"/>
      <c r="D259" s="28" t="n"/>
      <c r="E259" s="29" t="n"/>
      <c r="F259" s="29" t="n"/>
      <c r="G259" s="28" t="n"/>
      <c r="H259" s="28" t="n"/>
      <c r="I259" s="28" t="n"/>
      <c r="J259" s="28" t="n"/>
      <c r="K259" s="24">
        <f>IF(D259="","",IFERROR(INDEX(Setup!$B$24:$B$59,MATCH(D259,Setup!$A$24:$A$59,0)),"Check category"))</f>
        <v/>
      </c>
      <c r="L259" s="25">
        <f>IF(A259="","",DATE(YEAR(A259),MONTH(A259),1))</f>
        <v/>
      </c>
      <c r="M259" s="26">
        <f>IF(AND(E259="",F259=""),"",N(E259)-N(F259))</f>
        <v/>
      </c>
      <c r="N259" s="28" t="n"/>
    </row>
    <row r="260">
      <c r="A260" s="27" t="n"/>
      <c r="B260" s="28" t="n"/>
      <c r="C260" s="28" t="n"/>
      <c r="D260" s="28" t="n"/>
      <c r="E260" s="29" t="n"/>
      <c r="F260" s="29" t="n"/>
      <c r="G260" s="28" t="n"/>
      <c r="H260" s="28" t="n"/>
      <c r="I260" s="28" t="n"/>
      <c r="J260" s="28" t="n"/>
      <c r="K260" s="24">
        <f>IF(D260="","",IFERROR(INDEX(Setup!$B$24:$B$59,MATCH(D260,Setup!$A$24:$A$59,0)),"Check category"))</f>
        <v/>
      </c>
      <c r="L260" s="25">
        <f>IF(A260="","",DATE(YEAR(A260),MONTH(A260),1))</f>
        <v/>
      </c>
      <c r="M260" s="26">
        <f>IF(AND(E260="",F260=""),"",N(E260)-N(F260))</f>
        <v/>
      </c>
      <c r="N260" s="28" t="n"/>
    </row>
    <row r="261">
      <c r="A261" s="27" t="n"/>
      <c r="B261" s="28" t="n"/>
      <c r="C261" s="28" t="n"/>
      <c r="D261" s="28" t="n"/>
      <c r="E261" s="29" t="n"/>
      <c r="F261" s="29" t="n"/>
      <c r="G261" s="28" t="n"/>
      <c r="H261" s="28" t="n"/>
      <c r="I261" s="28" t="n"/>
      <c r="J261" s="28" t="n"/>
      <c r="K261" s="24">
        <f>IF(D261="","",IFERROR(INDEX(Setup!$B$24:$B$59,MATCH(D261,Setup!$A$24:$A$59,0)),"Check category"))</f>
        <v/>
      </c>
      <c r="L261" s="25">
        <f>IF(A261="","",DATE(YEAR(A261),MONTH(A261),1))</f>
        <v/>
      </c>
      <c r="M261" s="26">
        <f>IF(AND(E261="",F261=""),"",N(E261)-N(F261))</f>
        <v/>
      </c>
      <c r="N261" s="28" t="n"/>
    </row>
    <row r="262">
      <c r="A262" s="27" t="n"/>
      <c r="B262" s="28" t="n"/>
      <c r="C262" s="28" t="n"/>
      <c r="D262" s="28" t="n"/>
      <c r="E262" s="29" t="n"/>
      <c r="F262" s="29" t="n"/>
      <c r="G262" s="28" t="n"/>
      <c r="H262" s="28" t="n"/>
      <c r="I262" s="28" t="n"/>
      <c r="J262" s="28" t="n"/>
      <c r="K262" s="24">
        <f>IF(D262="","",IFERROR(INDEX(Setup!$B$24:$B$59,MATCH(D262,Setup!$A$24:$A$59,0)),"Check category"))</f>
        <v/>
      </c>
      <c r="L262" s="25">
        <f>IF(A262="","",DATE(YEAR(A262),MONTH(A262),1))</f>
        <v/>
      </c>
      <c r="M262" s="26">
        <f>IF(AND(E262="",F262=""),"",N(E262)-N(F262))</f>
        <v/>
      </c>
      <c r="N262" s="28" t="n"/>
    </row>
    <row r="263">
      <c r="A263" s="27" t="n"/>
      <c r="B263" s="28" t="n"/>
      <c r="C263" s="28" t="n"/>
      <c r="D263" s="28" t="n"/>
      <c r="E263" s="29" t="n"/>
      <c r="F263" s="29" t="n"/>
      <c r="G263" s="28" t="n"/>
      <c r="H263" s="28" t="n"/>
      <c r="I263" s="28" t="n"/>
      <c r="J263" s="28" t="n"/>
      <c r="K263" s="24">
        <f>IF(D263="","",IFERROR(INDEX(Setup!$B$24:$B$59,MATCH(D263,Setup!$A$24:$A$59,0)),"Check category"))</f>
        <v/>
      </c>
      <c r="L263" s="25">
        <f>IF(A263="","",DATE(YEAR(A263),MONTH(A263),1))</f>
        <v/>
      </c>
      <c r="M263" s="26">
        <f>IF(AND(E263="",F263=""),"",N(E263)-N(F263))</f>
        <v/>
      </c>
      <c r="N263" s="28" t="n"/>
    </row>
    <row r="264">
      <c r="A264" s="27" t="n"/>
      <c r="B264" s="28" t="n"/>
      <c r="C264" s="28" t="n"/>
      <c r="D264" s="28" t="n"/>
      <c r="E264" s="29" t="n"/>
      <c r="F264" s="29" t="n"/>
      <c r="G264" s="28" t="n"/>
      <c r="H264" s="28" t="n"/>
      <c r="I264" s="28" t="n"/>
      <c r="J264" s="28" t="n"/>
      <c r="K264" s="24">
        <f>IF(D264="","",IFERROR(INDEX(Setup!$B$24:$B$59,MATCH(D264,Setup!$A$24:$A$59,0)),"Check category"))</f>
        <v/>
      </c>
      <c r="L264" s="25">
        <f>IF(A264="","",DATE(YEAR(A264),MONTH(A264),1))</f>
        <v/>
      </c>
      <c r="M264" s="26">
        <f>IF(AND(E264="",F264=""),"",N(E264)-N(F264))</f>
        <v/>
      </c>
      <c r="N264" s="28" t="n"/>
    </row>
    <row r="265">
      <c r="A265" s="27" t="n"/>
      <c r="B265" s="28" t="n"/>
      <c r="C265" s="28" t="n"/>
      <c r="D265" s="28" t="n"/>
      <c r="E265" s="29" t="n"/>
      <c r="F265" s="29" t="n"/>
      <c r="G265" s="28" t="n"/>
      <c r="H265" s="28" t="n"/>
      <c r="I265" s="28" t="n"/>
      <c r="J265" s="28" t="n"/>
      <c r="K265" s="24">
        <f>IF(D265="","",IFERROR(INDEX(Setup!$B$24:$B$59,MATCH(D265,Setup!$A$24:$A$59,0)),"Check category"))</f>
        <v/>
      </c>
      <c r="L265" s="25">
        <f>IF(A265="","",DATE(YEAR(A265),MONTH(A265),1))</f>
        <v/>
      </c>
      <c r="M265" s="26">
        <f>IF(AND(E265="",F265=""),"",N(E265)-N(F265))</f>
        <v/>
      </c>
      <c r="N265" s="28" t="n"/>
    </row>
    <row r="266">
      <c r="A266" s="27" t="n"/>
      <c r="B266" s="28" t="n"/>
      <c r="C266" s="28" t="n"/>
      <c r="D266" s="28" t="n"/>
      <c r="E266" s="29" t="n"/>
      <c r="F266" s="29" t="n"/>
      <c r="G266" s="28" t="n"/>
      <c r="H266" s="28" t="n"/>
      <c r="I266" s="28" t="n"/>
      <c r="J266" s="28" t="n"/>
      <c r="K266" s="24">
        <f>IF(D266="","",IFERROR(INDEX(Setup!$B$24:$B$59,MATCH(D266,Setup!$A$24:$A$59,0)),"Check category"))</f>
        <v/>
      </c>
      <c r="L266" s="25">
        <f>IF(A266="","",DATE(YEAR(A266),MONTH(A266),1))</f>
        <v/>
      </c>
      <c r="M266" s="26">
        <f>IF(AND(E266="",F266=""),"",N(E266)-N(F266))</f>
        <v/>
      </c>
      <c r="N266" s="28" t="n"/>
    </row>
    <row r="267">
      <c r="A267" s="27" t="n"/>
      <c r="B267" s="28" t="n"/>
      <c r="C267" s="28" t="n"/>
      <c r="D267" s="28" t="n"/>
      <c r="E267" s="29" t="n"/>
      <c r="F267" s="29" t="n"/>
      <c r="G267" s="28" t="n"/>
      <c r="H267" s="28" t="n"/>
      <c r="I267" s="28" t="n"/>
      <c r="J267" s="28" t="n"/>
      <c r="K267" s="24">
        <f>IF(D267="","",IFERROR(INDEX(Setup!$B$24:$B$59,MATCH(D267,Setup!$A$24:$A$59,0)),"Check category"))</f>
        <v/>
      </c>
      <c r="L267" s="25">
        <f>IF(A267="","",DATE(YEAR(A267),MONTH(A267),1))</f>
        <v/>
      </c>
      <c r="M267" s="26">
        <f>IF(AND(E267="",F267=""),"",N(E267)-N(F267))</f>
        <v/>
      </c>
      <c r="N267" s="28" t="n"/>
    </row>
    <row r="268">
      <c r="A268" s="27" t="n"/>
      <c r="B268" s="28" t="n"/>
      <c r="C268" s="28" t="n"/>
      <c r="D268" s="28" t="n"/>
      <c r="E268" s="29" t="n"/>
      <c r="F268" s="29" t="n"/>
      <c r="G268" s="28" t="n"/>
      <c r="H268" s="28" t="n"/>
      <c r="I268" s="28" t="n"/>
      <c r="J268" s="28" t="n"/>
      <c r="K268" s="24">
        <f>IF(D268="","",IFERROR(INDEX(Setup!$B$24:$B$59,MATCH(D268,Setup!$A$24:$A$59,0)),"Check category"))</f>
        <v/>
      </c>
      <c r="L268" s="25">
        <f>IF(A268="","",DATE(YEAR(A268),MONTH(A268),1))</f>
        <v/>
      </c>
      <c r="M268" s="26">
        <f>IF(AND(E268="",F268=""),"",N(E268)-N(F268))</f>
        <v/>
      </c>
      <c r="N268" s="28" t="n"/>
    </row>
    <row r="269">
      <c r="A269" s="27" t="n"/>
      <c r="B269" s="28" t="n"/>
      <c r="C269" s="28" t="n"/>
      <c r="D269" s="28" t="n"/>
      <c r="E269" s="29" t="n"/>
      <c r="F269" s="29" t="n"/>
      <c r="G269" s="28" t="n"/>
      <c r="H269" s="28" t="n"/>
      <c r="I269" s="28" t="n"/>
      <c r="J269" s="28" t="n"/>
      <c r="K269" s="24">
        <f>IF(D269="","",IFERROR(INDEX(Setup!$B$24:$B$59,MATCH(D269,Setup!$A$24:$A$59,0)),"Check category"))</f>
        <v/>
      </c>
      <c r="L269" s="25">
        <f>IF(A269="","",DATE(YEAR(A269),MONTH(A269),1))</f>
        <v/>
      </c>
      <c r="M269" s="26">
        <f>IF(AND(E269="",F269=""),"",N(E269)-N(F269))</f>
        <v/>
      </c>
      <c r="N269" s="28" t="n"/>
    </row>
    <row r="270">
      <c r="A270" s="27" t="n"/>
      <c r="B270" s="28" t="n"/>
      <c r="C270" s="28" t="n"/>
      <c r="D270" s="28" t="n"/>
      <c r="E270" s="29" t="n"/>
      <c r="F270" s="29" t="n"/>
      <c r="G270" s="28" t="n"/>
      <c r="H270" s="28" t="n"/>
      <c r="I270" s="28" t="n"/>
      <c r="J270" s="28" t="n"/>
      <c r="K270" s="24">
        <f>IF(D270="","",IFERROR(INDEX(Setup!$B$24:$B$59,MATCH(D270,Setup!$A$24:$A$59,0)),"Check category"))</f>
        <v/>
      </c>
      <c r="L270" s="25">
        <f>IF(A270="","",DATE(YEAR(A270),MONTH(A270),1))</f>
        <v/>
      </c>
      <c r="M270" s="26">
        <f>IF(AND(E270="",F270=""),"",N(E270)-N(F270))</f>
        <v/>
      </c>
      <c r="N270" s="28" t="n"/>
    </row>
    <row r="271">
      <c r="A271" s="27" t="n"/>
      <c r="B271" s="28" t="n"/>
      <c r="C271" s="28" t="n"/>
      <c r="D271" s="28" t="n"/>
      <c r="E271" s="29" t="n"/>
      <c r="F271" s="29" t="n"/>
      <c r="G271" s="28" t="n"/>
      <c r="H271" s="28" t="n"/>
      <c r="I271" s="28" t="n"/>
      <c r="J271" s="28" t="n"/>
      <c r="K271" s="24">
        <f>IF(D271="","",IFERROR(INDEX(Setup!$B$24:$B$59,MATCH(D271,Setup!$A$24:$A$59,0)),"Check category"))</f>
        <v/>
      </c>
      <c r="L271" s="25">
        <f>IF(A271="","",DATE(YEAR(A271),MONTH(A271),1))</f>
        <v/>
      </c>
      <c r="M271" s="26">
        <f>IF(AND(E271="",F271=""),"",N(E271)-N(F271))</f>
        <v/>
      </c>
      <c r="N271" s="28" t="n"/>
    </row>
    <row r="272">
      <c r="A272" s="27" t="n"/>
      <c r="B272" s="28" t="n"/>
      <c r="C272" s="28" t="n"/>
      <c r="D272" s="28" t="n"/>
      <c r="E272" s="29" t="n"/>
      <c r="F272" s="29" t="n"/>
      <c r="G272" s="28" t="n"/>
      <c r="H272" s="28" t="n"/>
      <c r="I272" s="28" t="n"/>
      <c r="J272" s="28" t="n"/>
      <c r="K272" s="24">
        <f>IF(D272="","",IFERROR(INDEX(Setup!$B$24:$B$59,MATCH(D272,Setup!$A$24:$A$59,0)),"Check category"))</f>
        <v/>
      </c>
      <c r="L272" s="25">
        <f>IF(A272="","",DATE(YEAR(A272),MONTH(A272),1))</f>
        <v/>
      </c>
      <c r="M272" s="26">
        <f>IF(AND(E272="",F272=""),"",N(E272)-N(F272))</f>
        <v/>
      </c>
      <c r="N272" s="28" t="n"/>
    </row>
    <row r="273">
      <c r="A273" s="27" t="n"/>
      <c r="B273" s="28" t="n"/>
      <c r="C273" s="28" t="n"/>
      <c r="D273" s="28" t="n"/>
      <c r="E273" s="29" t="n"/>
      <c r="F273" s="29" t="n"/>
      <c r="G273" s="28" t="n"/>
      <c r="H273" s="28" t="n"/>
      <c r="I273" s="28" t="n"/>
      <c r="J273" s="28" t="n"/>
      <c r="K273" s="24">
        <f>IF(D273="","",IFERROR(INDEX(Setup!$B$24:$B$59,MATCH(D273,Setup!$A$24:$A$59,0)),"Check category"))</f>
        <v/>
      </c>
      <c r="L273" s="25">
        <f>IF(A273="","",DATE(YEAR(A273),MONTH(A273),1))</f>
        <v/>
      </c>
      <c r="M273" s="26">
        <f>IF(AND(E273="",F273=""),"",N(E273)-N(F273))</f>
        <v/>
      </c>
      <c r="N273" s="28" t="n"/>
    </row>
    <row r="274">
      <c r="A274" s="27" t="n"/>
      <c r="B274" s="28" t="n"/>
      <c r="C274" s="28" t="n"/>
      <c r="D274" s="28" t="n"/>
      <c r="E274" s="29" t="n"/>
      <c r="F274" s="29" t="n"/>
      <c r="G274" s="28" t="n"/>
      <c r="H274" s="28" t="n"/>
      <c r="I274" s="28" t="n"/>
      <c r="J274" s="28" t="n"/>
      <c r="K274" s="24">
        <f>IF(D274="","",IFERROR(INDEX(Setup!$B$24:$B$59,MATCH(D274,Setup!$A$24:$A$59,0)),"Check category"))</f>
        <v/>
      </c>
      <c r="L274" s="25">
        <f>IF(A274="","",DATE(YEAR(A274),MONTH(A274),1))</f>
        <v/>
      </c>
      <c r="M274" s="26">
        <f>IF(AND(E274="",F274=""),"",N(E274)-N(F274))</f>
        <v/>
      </c>
      <c r="N274" s="28" t="n"/>
    </row>
    <row r="275">
      <c r="A275" s="27" t="n"/>
      <c r="B275" s="28" t="n"/>
      <c r="C275" s="28" t="n"/>
      <c r="D275" s="28" t="n"/>
      <c r="E275" s="29" t="n"/>
      <c r="F275" s="29" t="n"/>
      <c r="G275" s="28" t="n"/>
      <c r="H275" s="28" t="n"/>
      <c r="I275" s="28" t="n"/>
      <c r="J275" s="28" t="n"/>
      <c r="K275" s="24">
        <f>IF(D275="","",IFERROR(INDEX(Setup!$B$24:$B$59,MATCH(D275,Setup!$A$24:$A$59,0)),"Check category"))</f>
        <v/>
      </c>
      <c r="L275" s="25">
        <f>IF(A275="","",DATE(YEAR(A275),MONTH(A275),1))</f>
        <v/>
      </c>
      <c r="M275" s="26">
        <f>IF(AND(E275="",F275=""),"",N(E275)-N(F275))</f>
        <v/>
      </c>
      <c r="N275" s="28" t="n"/>
    </row>
    <row r="276">
      <c r="A276" s="27" t="n"/>
      <c r="B276" s="28" t="n"/>
      <c r="C276" s="28" t="n"/>
      <c r="D276" s="28" t="n"/>
      <c r="E276" s="29" t="n"/>
      <c r="F276" s="29" t="n"/>
      <c r="G276" s="28" t="n"/>
      <c r="H276" s="28" t="n"/>
      <c r="I276" s="28" t="n"/>
      <c r="J276" s="28" t="n"/>
      <c r="K276" s="24">
        <f>IF(D276="","",IFERROR(INDEX(Setup!$B$24:$B$59,MATCH(D276,Setup!$A$24:$A$59,0)),"Check category"))</f>
        <v/>
      </c>
      <c r="L276" s="25">
        <f>IF(A276="","",DATE(YEAR(A276),MONTH(A276),1))</f>
        <v/>
      </c>
      <c r="M276" s="26">
        <f>IF(AND(E276="",F276=""),"",N(E276)-N(F276))</f>
        <v/>
      </c>
      <c r="N276" s="28" t="n"/>
    </row>
    <row r="277">
      <c r="A277" s="27" t="n"/>
      <c r="B277" s="28" t="n"/>
      <c r="C277" s="28" t="n"/>
      <c r="D277" s="28" t="n"/>
      <c r="E277" s="29" t="n"/>
      <c r="F277" s="29" t="n"/>
      <c r="G277" s="28" t="n"/>
      <c r="H277" s="28" t="n"/>
      <c r="I277" s="28" t="n"/>
      <c r="J277" s="28" t="n"/>
      <c r="K277" s="24">
        <f>IF(D277="","",IFERROR(INDEX(Setup!$B$24:$B$59,MATCH(D277,Setup!$A$24:$A$59,0)),"Check category"))</f>
        <v/>
      </c>
      <c r="L277" s="25">
        <f>IF(A277="","",DATE(YEAR(A277),MONTH(A277),1))</f>
        <v/>
      </c>
      <c r="M277" s="26">
        <f>IF(AND(E277="",F277=""),"",N(E277)-N(F277))</f>
        <v/>
      </c>
      <c r="N277" s="28" t="n"/>
    </row>
    <row r="278">
      <c r="A278" s="27" t="n"/>
      <c r="B278" s="28" t="n"/>
      <c r="C278" s="28" t="n"/>
      <c r="D278" s="28" t="n"/>
      <c r="E278" s="29" t="n"/>
      <c r="F278" s="29" t="n"/>
      <c r="G278" s="28" t="n"/>
      <c r="H278" s="28" t="n"/>
      <c r="I278" s="28" t="n"/>
      <c r="J278" s="28" t="n"/>
      <c r="K278" s="24">
        <f>IF(D278="","",IFERROR(INDEX(Setup!$B$24:$B$59,MATCH(D278,Setup!$A$24:$A$59,0)),"Check category"))</f>
        <v/>
      </c>
      <c r="L278" s="25">
        <f>IF(A278="","",DATE(YEAR(A278),MONTH(A278),1))</f>
        <v/>
      </c>
      <c r="M278" s="26">
        <f>IF(AND(E278="",F278=""),"",N(E278)-N(F278))</f>
        <v/>
      </c>
      <c r="N278" s="28" t="n"/>
    </row>
    <row r="279">
      <c r="A279" s="27" t="n"/>
      <c r="B279" s="28" t="n"/>
      <c r="C279" s="28" t="n"/>
      <c r="D279" s="28" t="n"/>
      <c r="E279" s="29" t="n"/>
      <c r="F279" s="29" t="n"/>
      <c r="G279" s="28" t="n"/>
      <c r="H279" s="28" t="n"/>
      <c r="I279" s="28" t="n"/>
      <c r="J279" s="28" t="n"/>
      <c r="K279" s="24">
        <f>IF(D279="","",IFERROR(INDEX(Setup!$B$24:$B$59,MATCH(D279,Setup!$A$24:$A$59,0)),"Check category"))</f>
        <v/>
      </c>
      <c r="L279" s="25">
        <f>IF(A279="","",DATE(YEAR(A279),MONTH(A279),1))</f>
        <v/>
      </c>
      <c r="M279" s="26">
        <f>IF(AND(E279="",F279=""),"",N(E279)-N(F279))</f>
        <v/>
      </c>
      <c r="N279" s="28" t="n"/>
    </row>
    <row r="280">
      <c r="A280" s="27" t="n"/>
      <c r="B280" s="28" t="n"/>
      <c r="C280" s="28" t="n"/>
      <c r="D280" s="28" t="n"/>
      <c r="E280" s="29" t="n"/>
      <c r="F280" s="29" t="n"/>
      <c r="G280" s="28" t="n"/>
      <c r="H280" s="28" t="n"/>
      <c r="I280" s="28" t="n"/>
      <c r="J280" s="28" t="n"/>
      <c r="K280" s="24">
        <f>IF(D280="","",IFERROR(INDEX(Setup!$B$24:$B$59,MATCH(D280,Setup!$A$24:$A$59,0)),"Check category"))</f>
        <v/>
      </c>
      <c r="L280" s="25">
        <f>IF(A280="","",DATE(YEAR(A280),MONTH(A280),1))</f>
        <v/>
      </c>
      <c r="M280" s="26">
        <f>IF(AND(E280="",F280=""),"",N(E280)-N(F280))</f>
        <v/>
      </c>
      <c r="N280" s="28" t="n"/>
    </row>
    <row r="281">
      <c r="A281" s="27" t="n"/>
      <c r="B281" s="28" t="n"/>
      <c r="C281" s="28" t="n"/>
      <c r="D281" s="28" t="n"/>
      <c r="E281" s="29" t="n"/>
      <c r="F281" s="29" t="n"/>
      <c r="G281" s="28" t="n"/>
      <c r="H281" s="28" t="n"/>
      <c r="I281" s="28" t="n"/>
      <c r="J281" s="28" t="n"/>
      <c r="K281" s="24">
        <f>IF(D281="","",IFERROR(INDEX(Setup!$B$24:$B$59,MATCH(D281,Setup!$A$24:$A$59,0)),"Check category"))</f>
        <v/>
      </c>
      <c r="L281" s="25">
        <f>IF(A281="","",DATE(YEAR(A281),MONTH(A281),1))</f>
        <v/>
      </c>
      <c r="M281" s="26">
        <f>IF(AND(E281="",F281=""),"",N(E281)-N(F281))</f>
        <v/>
      </c>
      <c r="N281" s="28" t="n"/>
    </row>
    <row r="282">
      <c r="A282" s="27" t="n"/>
      <c r="B282" s="28" t="n"/>
      <c r="C282" s="28" t="n"/>
      <c r="D282" s="28" t="n"/>
      <c r="E282" s="29" t="n"/>
      <c r="F282" s="29" t="n"/>
      <c r="G282" s="28" t="n"/>
      <c r="H282" s="28" t="n"/>
      <c r="I282" s="28" t="n"/>
      <c r="J282" s="28" t="n"/>
      <c r="K282" s="24">
        <f>IF(D282="","",IFERROR(INDEX(Setup!$B$24:$B$59,MATCH(D282,Setup!$A$24:$A$59,0)),"Check category"))</f>
        <v/>
      </c>
      <c r="L282" s="25">
        <f>IF(A282="","",DATE(YEAR(A282),MONTH(A282),1))</f>
        <v/>
      </c>
      <c r="M282" s="26">
        <f>IF(AND(E282="",F282=""),"",N(E282)-N(F282))</f>
        <v/>
      </c>
      <c r="N282" s="28" t="n"/>
    </row>
    <row r="283">
      <c r="A283" s="27" t="n"/>
      <c r="B283" s="28" t="n"/>
      <c r="C283" s="28" t="n"/>
      <c r="D283" s="28" t="n"/>
      <c r="E283" s="29" t="n"/>
      <c r="F283" s="29" t="n"/>
      <c r="G283" s="28" t="n"/>
      <c r="H283" s="28" t="n"/>
      <c r="I283" s="28" t="n"/>
      <c r="J283" s="28" t="n"/>
      <c r="K283" s="24">
        <f>IF(D283="","",IFERROR(INDEX(Setup!$B$24:$B$59,MATCH(D283,Setup!$A$24:$A$59,0)),"Check category"))</f>
        <v/>
      </c>
      <c r="L283" s="25">
        <f>IF(A283="","",DATE(YEAR(A283),MONTH(A283),1))</f>
        <v/>
      </c>
      <c r="M283" s="26">
        <f>IF(AND(E283="",F283=""),"",N(E283)-N(F283))</f>
        <v/>
      </c>
      <c r="N283" s="28" t="n"/>
    </row>
    <row r="284">
      <c r="A284" s="27" t="n"/>
      <c r="B284" s="28" t="n"/>
      <c r="C284" s="28" t="n"/>
      <c r="D284" s="28" t="n"/>
      <c r="E284" s="29" t="n"/>
      <c r="F284" s="29" t="n"/>
      <c r="G284" s="28" t="n"/>
      <c r="H284" s="28" t="n"/>
      <c r="I284" s="28" t="n"/>
      <c r="J284" s="28" t="n"/>
      <c r="K284" s="24">
        <f>IF(D284="","",IFERROR(INDEX(Setup!$B$24:$B$59,MATCH(D284,Setup!$A$24:$A$59,0)),"Check category"))</f>
        <v/>
      </c>
      <c r="L284" s="25">
        <f>IF(A284="","",DATE(YEAR(A284),MONTH(A284),1))</f>
        <v/>
      </c>
      <c r="M284" s="26">
        <f>IF(AND(E284="",F284=""),"",N(E284)-N(F284))</f>
        <v/>
      </c>
      <c r="N284" s="28" t="n"/>
    </row>
    <row r="285">
      <c r="A285" s="27" t="n"/>
      <c r="B285" s="28" t="n"/>
      <c r="C285" s="28" t="n"/>
      <c r="D285" s="28" t="n"/>
      <c r="E285" s="29" t="n"/>
      <c r="F285" s="29" t="n"/>
      <c r="G285" s="28" t="n"/>
      <c r="H285" s="28" t="n"/>
      <c r="I285" s="28" t="n"/>
      <c r="J285" s="28" t="n"/>
      <c r="K285" s="24">
        <f>IF(D285="","",IFERROR(INDEX(Setup!$B$24:$B$59,MATCH(D285,Setup!$A$24:$A$59,0)),"Check category"))</f>
        <v/>
      </c>
      <c r="L285" s="25">
        <f>IF(A285="","",DATE(YEAR(A285),MONTH(A285),1))</f>
        <v/>
      </c>
      <c r="M285" s="26">
        <f>IF(AND(E285="",F285=""),"",N(E285)-N(F285))</f>
        <v/>
      </c>
      <c r="N285" s="28" t="n"/>
    </row>
    <row r="286">
      <c r="A286" s="27" t="n"/>
      <c r="B286" s="28" t="n"/>
      <c r="C286" s="28" t="n"/>
      <c r="D286" s="28" t="n"/>
      <c r="E286" s="29" t="n"/>
      <c r="F286" s="29" t="n"/>
      <c r="G286" s="28" t="n"/>
      <c r="H286" s="28" t="n"/>
      <c r="I286" s="28" t="n"/>
      <c r="J286" s="28" t="n"/>
      <c r="K286" s="24">
        <f>IF(D286="","",IFERROR(INDEX(Setup!$B$24:$B$59,MATCH(D286,Setup!$A$24:$A$59,0)),"Check category"))</f>
        <v/>
      </c>
      <c r="L286" s="25">
        <f>IF(A286="","",DATE(YEAR(A286),MONTH(A286),1))</f>
        <v/>
      </c>
      <c r="M286" s="26">
        <f>IF(AND(E286="",F286=""),"",N(E286)-N(F286))</f>
        <v/>
      </c>
      <c r="N286" s="28" t="n"/>
    </row>
    <row r="287">
      <c r="A287" s="27" t="n"/>
      <c r="B287" s="28" t="n"/>
      <c r="C287" s="28" t="n"/>
      <c r="D287" s="28" t="n"/>
      <c r="E287" s="29" t="n"/>
      <c r="F287" s="29" t="n"/>
      <c r="G287" s="28" t="n"/>
      <c r="H287" s="28" t="n"/>
      <c r="I287" s="28" t="n"/>
      <c r="J287" s="28" t="n"/>
      <c r="K287" s="24">
        <f>IF(D287="","",IFERROR(INDEX(Setup!$B$24:$B$59,MATCH(D287,Setup!$A$24:$A$59,0)),"Check category"))</f>
        <v/>
      </c>
      <c r="L287" s="25">
        <f>IF(A287="","",DATE(YEAR(A287),MONTH(A287),1))</f>
        <v/>
      </c>
      <c r="M287" s="26">
        <f>IF(AND(E287="",F287=""),"",N(E287)-N(F287))</f>
        <v/>
      </c>
      <c r="N287" s="28" t="n"/>
    </row>
    <row r="288">
      <c r="A288" s="27" t="n"/>
      <c r="B288" s="28" t="n"/>
      <c r="C288" s="28" t="n"/>
      <c r="D288" s="28" t="n"/>
      <c r="E288" s="29" t="n"/>
      <c r="F288" s="29" t="n"/>
      <c r="G288" s="28" t="n"/>
      <c r="H288" s="28" t="n"/>
      <c r="I288" s="28" t="n"/>
      <c r="J288" s="28" t="n"/>
      <c r="K288" s="24">
        <f>IF(D288="","",IFERROR(INDEX(Setup!$B$24:$B$59,MATCH(D288,Setup!$A$24:$A$59,0)),"Check category"))</f>
        <v/>
      </c>
      <c r="L288" s="25">
        <f>IF(A288="","",DATE(YEAR(A288),MONTH(A288),1))</f>
        <v/>
      </c>
      <c r="M288" s="26">
        <f>IF(AND(E288="",F288=""),"",N(E288)-N(F288))</f>
        <v/>
      </c>
      <c r="N288" s="28" t="n"/>
    </row>
    <row r="289">
      <c r="A289" s="27" t="n"/>
      <c r="B289" s="28" t="n"/>
      <c r="C289" s="28" t="n"/>
      <c r="D289" s="28" t="n"/>
      <c r="E289" s="29" t="n"/>
      <c r="F289" s="29" t="n"/>
      <c r="G289" s="28" t="n"/>
      <c r="H289" s="28" t="n"/>
      <c r="I289" s="28" t="n"/>
      <c r="J289" s="28" t="n"/>
      <c r="K289" s="24">
        <f>IF(D289="","",IFERROR(INDEX(Setup!$B$24:$B$59,MATCH(D289,Setup!$A$24:$A$59,0)),"Check category"))</f>
        <v/>
      </c>
      <c r="L289" s="25">
        <f>IF(A289="","",DATE(YEAR(A289),MONTH(A289),1))</f>
        <v/>
      </c>
      <c r="M289" s="26">
        <f>IF(AND(E289="",F289=""),"",N(E289)-N(F289))</f>
        <v/>
      </c>
      <c r="N289" s="28" t="n"/>
    </row>
    <row r="290">
      <c r="A290" s="27" t="n"/>
      <c r="B290" s="28" t="n"/>
      <c r="C290" s="28" t="n"/>
      <c r="D290" s="28" t="n"/>
      <c r="E290" s="29" t="n"/>
      <c r="F290" s="29" t="n"/>
      <c r="G290" s="28" t="n"/>
      <c r="H290" s="28" t="n"/>
      <c r="I290" s="28" t="n"/>
      <c r="J290" s="28" t="n"/>
      <c r="K290" s="24">
        <f>IF(D290="","",IFERROR(INDEX(Setup!$B$24:$B$59,MATCH(D290,Setup!$A$24:$A$59,0)),"Check category"))</f>
        <v/>
      </c>
      <c r="L290" s="25">
        <f>IF(A290="","",DATE(YEAR(A290),MONTH(A290),1))</f>
        <v/>
      </c>
      <c r="M290" s="26">
        <f>IF(AND(E290="",F290=""),"",N(E290)-N(F290))</f>
        <v/>
      </c>
      <c r="N290" s="28" t="n"/>
    </row>
    <row r="291">
      <c r="A291" s="27" t="n"/>
      <c r="B291" s="28" t="n"/>
      <c r="C291" s="28" t="n"/>
      <c r="D291" s="28" t="n"/>
      <c r="E291" s="29" t="n"/>
      <c r="F291" s="29" t="n"/>
      <c r="G291" s="28" t="n"/>
      <c r="H291" s="28" t="n"/>
      <c r="I291" s="28" t="n"/>
      <c r="J291" s="28" t="n"/>
      <c r="K291" s="24">
        <f>IF(D291="","",IFERROR(INDEX(Setup!$B$24:$B$59,MATCH(D291,Setup!$A$24:$A$59,0)),"Check category"))</f>
        <v/>
      </c>
      <c r="L291" s="25">
        <f>IF(A291="","",DATE(YEAR(A291),MONTH(A291),1))</f>
        <v/>
      </c>
      <c r="M291" s="26">
        <f>IF(AND(E291="",F291=""),"",N(E291)-N(F291))</f>
        <v/>
      </c>
      <c r="N291" s="28" t="n"/>
    </row>
    <row r="292">
      <c r="A292" s="27" t="n"/>
      <c r="B292" s="28" t="n"/>
      <c r="C292" s="28" t="n"/>
      <c r="D292" s="28" t="n"/>
      <c r="E292" s="29" t="n"/>
      <c r="F292" s="29" t="n"/>
      <c r="G292" s="28" t="n"/>
      <c r="H292" s="28" t="n"/>
      <c r="I292" s="28" t="n"/>
      <c r="J292" s="28" t="n"/>
      <c r="K292" s="24">
        <f>IF(D292="","",IFERROR(INDEX(Setup!$B$24:$B$59,MATCH(D292,Setup!$A$24:$A$59,0)),"Check category"))</f>
        <v/>
      </c>
      <c r="L292" s="25">
        <f>IF(A292="","",DATE(YEAR(A292),MONTH(A292),1))</f>
        <v/>
      </c>
      <c r="M292" s="26">
        <f>IF(AND(E292="",F292=""),"",N(E292)-N(F292))</f>
        <v/>
      </c>
      <c r="N292" s="28" t="n"/>
    </row>
    <row r="293">
      <c r="A293" s="27" t="n"/>
      <c r="B293" s="28" t="n"/>
      <c r="C293" s="28" t="n"/>
      <c r="D293" s="28" t="n"/>
      <c r="E293" s="29" t="n"/>
      <c r="F293" s="29" t="n"/>
      <c r="G293" s="28" t="n"/>
      <c r="H293" s="28" t="n"/>
      <c r="I293" s="28" t="n"/>
      <c r="J293" s="28" t="n"/>
      <c r="K293" s="24">
        <f>IF(D293="","",IFERROR(INDEX(Setup!$B$24:$B$59,MATCH(D293,Setup!$A$24:$A$59,0)),"Check category"))</f>
        <v/>
      </c>
      <c r="L293" s="25">
        <f>IF(A293="","",DATE(YEAR(A293),MONTH(A293),1))</f>
        <v/>
      </c>
      <c r="M293" s="26">
        <f>IF(AND(E293="",F293=""),"",N(E293)-N(F293))</f>
        <v/>
      </c>
      <c r="N293" s="28" t="n"/>
    </row>
    <row r="294">
      <c r="A294" s="27" t="n"/>
      <c r="B294" s="28" t="n"/>
      <c r="C294" s="28" t="n"/>
      <c r="D294" s="28" t="n"/>
      <c r="E294" s="29" t="n"/>
      <c r="F294" s="29" t="n"/>
      <c r="G294" s="28" t="n"/>
      <c r="H294" s="28" t="n"/>
      <c r="I294" s="28" t="n"/>
      <c r="J294" s="28" t="n"/>
      <c r="K294" s="24">
        <f>IF(D294="","",IFERROR(INDEX(Setup!$B$24:$B$59,MATCH(D294,Setup!$A$24:$A$59,0)),"Check category"))</f>
        <v/>
      </c>
      <c r="L294" s="25">
        <f>IF(A294="","",DATE(YEAR(A294),MONTH(A294),1))</f>
        <v/>
      </c>
      <c r="M294" s="26">
        <f>IF(AND(E294="",F294=""),"",N(E294)-N(F294))</f>
        <v/>
      </c>
      <c r="N294" s="28" t="n"/>
    </row>
    <row r="295">
      <c r="A295" s="27" t="n"/>
      <c r="B295" s="28" t="n"/>
      <c r="C295" s="28" t="n"/>
      <c r="D295" s="28" t="n"/>
      <c r="E295" s="29" t="n"/>
      <c r="F295" s="29" t="n"/>
      <c r="G295" s="28" t="n"/>
      <c r="H295" s="28" t="n"/>
      <c r="I295" s="28" t="n"/>
      <c r="J295" s="28" t="n"/>
      <c r="K295" s="24">
        <f>IF(D295="","",IFERROR(INDEX(Setup!$B$24:$B$59,MATCH(D295,Setup!$A$24:$A$59,0)),"Check category"))</f>
        <v/>
      </c>
      <c r="L295" s="25">
        <f>IF(A295="","",DATE(YEAR(A295),MONTH(A295),1))</f>
        <v/>
      </c>
      <c r="M295" s="26">
        <f>IF(AND(E295="",F295=""),"",N(E295)-N(F295))</f>
        <v/>
      </c>
      <c r="N295" s="28" t="n"/>
    </row>
    <row r="296">
      <c r="A296" s="27" t="n"/>
      <c r="B296" s="28" t="n"/>
      <c r="C296" s="28" t="n"/>
      <c r="D296" s="28" t="n"/>
      <c r="E296" s="29" t="n"/>
      <c r="F296" s="29" t="n"/>
      <c r="G296" s="28" t="n"/>
      <c r="H296" s="28" t="n"/>
      <c r="I296" s="28" t="n"/>
      <c r="J296" s="28" t="n"/>
      <c r="K296" s="24">
        <f>IF(D296="","",IFERROR(INDEX(Setup!$B$24:$B$59,MATCH(D296,Setup!$A$24:$A$59,0)),"Check category"))</f>
        <v/>
      </c>
      <c r="L296" s="25">
        <f>IF(A296="","",DATE(YEAR(A296),MONTH(A296),1))</f>
        <v/>
      </c>
      <c r="M296" s="26">
        <f>IF(AND(E296="",F296=""),"",N(E296)-N(F296))</f>
        <v/>
      </c>
      <c r="N296" s="28" t="n"/>
    </row>
    <row r="297">
      <c r="A297" s="27" t="n"/>
      <c r="B297" s="28" t="n"/>
      <c r="C297" s="28" t="n"/>
      <c r="D297" s="28" t="n"/>
      <c r="E297" s="29" t="n"/>
      <c r="F297" s="29" t="n"/>
      <c r="G297" s="28" t="n"/>
      <c r="H297" s="28" t="n"/>
      <c r="I297" s="28" t="n"/>
      <c r="J297" s="28" t="n"/>
      <c r="K297" s="24">
        <f>IF(D297="","",IFERROR(INDEX(Setup!$B$24:$B$59,MATCH(D297,Setup!$A$24:$A$59,0)),"Check category"))</f>
        <v/>
      </c>
      <c r="L297" s="25">
        <f>IF(A297="","",DATE(YEAR(A297),MONTH(A297),1))</f>
        <v/>
      </c>
      <c r="M297" s="26">
        <f>IF(AND(E297="",F297=""),"",N(E297)-N(F297))</f>
        <v/>
      </c>
      <c r="N297" s="28" t="n"/>
    </row>
    <row r="298">
      <c r="A298" s="27" t="n"/>
      <c r="B298" s="28" t="n"/>
      <c r="C298" s="28" t="n"/>
      <c r="D298" s="28" t="n"/>
      <c r="E298" s="29" t="n"/>
      <c r="F298" s="29" t="n"/>
      <c r="G298" s="28" t="n"/>
      <c r="H298" s="28" t="n"/>
      <c r="I298" s="28" t="n"/>
      <c r="J298" s="28" t="n"/>
      <c r="K298" s="24">
        <f>IF(D298="","",IFERROR(INDEX(Setup!$B$24:$B$59,MATCH(D298,Setup!$A$24:$A$59,0)),"Check category"))</f>
        <v/>
      </c>
      <c r="L298" s="25">
        <f>IF(A298="","",DATE(YEAR(A298),MONTH(A298),1))</f>
        <v/>
      </c>
      <c r="M298" s="26">
        <f>IF(AND(E298="",F298=""),"",N(E298)-N(F298))</f>
        <v/>
      </c>
      <c r="N298" s="28" t="n"/>
    </row>
    <row r="299">
      <c r="A299" s="27" t="n"/>
      <c r="B299" s="28" t="n"/>
      <c r="C299" s="28" t="n"/>
      <c r="D299" s="28" t="n"/>
      <c r="E299" s="29" t="n"/>
      <c r="F299" s="29" t="n"/>
      <c r="G299" s="28" t="n"/>
      <c r="H299" s="28" t="n"/>
      <c r="I299" s="28" t="n"/>
      <c r="J299" s="28" t="n"/>
      <c r="K299" s="24">
        <f>IF(D299="","",IFERROR(INDEX(Setup!$B$24:$B$59,MATCH(D299,Setup!$A$24:$A$59,0)),"Check category"))</f>
        <v/>
      </c>
      <c r="L299" s="25">
        <f>IF(A299="","",DATE(YEAR(A299),MONTH(A299),1))</f>
        <v/>
      </c>
      <c r="M299" s="26">
        <f>IF(AND(E299="",F299=""),"",N(E299)-N(F299))</f>
        <v/>
      </c>
      <c r="N299" s="28" t="n"/>
    </row>
    <row r="300">
      <c r="A300" s="27" t="n"/>
      <c r="B300" s="28" t="n"/>
      <c r="C300" s="28" t="n"/>
      <c r="D300" s="28" t="n"/>
      <c r="E300" s="29" t="n"/>
      <c r="F300" s="29" t="n"/>
      <c r="G300" s="28" t="n"/>
      <c r="H300" s="28" t="n"/>
      <c r="I300" s="28" t="n"/>
      <c r="J300" s="28" t="n"/>
      <c r="K300" s="24">
        <f>IF(D300="","",IFERROR(INDEX(Setup!$B$24:$B$59,MATCH(D300,Setup!$A$24:$A$59,0)),"Check category"))</f>
        <v/>
      </c>
      <c r="L300" s="25">
        <f>IF(A300="","",DATE(YEAR(A300),MONTH(A300),1))</f>
        <v/>
      </c>
      <c r="M300" s="26">
        <f>IF(AND(E300="",F300=""),"",N(E300)-N(F300))</f>
        <v/>
      </c>
      <c r="N300" s="28" t="n"/>
    </row>
    <row r="301">
      <c r="A301" s="27" t="n"/>
      <c r="B301" s="28" t="n"/>
      <c r="C301" s="28" t="n"/>
      <c r="D301" s="28" t="n"/>
      <c r="E301" s="29" t="n"/>
      <c r="F301" s="29" t="n"/>
      <c r="G301" s="28" t="n"/>
      <c r="H301" s="28" t="n"/>
      <c r="I301" s="28" t="n"/>
      <c r="J301" s="28" t="n"/>
      <c r="K301" s="24">
        <f>IF(D301="","",IFERROR(INDEX(Setup!$B$24:$B$59,MATCH(D301,Setup!$A$24:$A$59,0)),"Check category"))</f>
        <v/>
      </c>
      <c r="L301" s="25">
        <f>IF(A301="","",DATE(YEAR(A301),MONTH(A301),1))</f>
        <v/>
      </c>
      <c r="M301" s="26">
        <f>IF(AND(E301="",F301=""),"",N(E301)-N(F301))</f>
        <v/>
      </c>
      <c r="N301" s="28" t="n"/>
    </row>
    <row r="302">
      <c r="A302" s="27" t="n"/>
      <c r="B302" s="28" t="n"/>
      <c r="C302" s="28" t="n"/>
      <c r="D302" s="28" t="n"/>
      <c r="E302" s="29" t="n"/>
      <c r="F302" s="29" t="n"/>
      <c r="G302" s="28" t="n"/>
      <c r="H302" s="28" t="n"/>
      <c r="I302" s="28" t="n"/>
      <c r="J302" s="28" t="n"/>
      <c r="K302" s="24">
        <f>IF(D302="","",IFERROR(INDEX(Setup!$B$24:$B$59,MATCH(D302,Setup!$A$24:$A$59,0)),"Check category"))</f>
        <v/>
      </c>
      <c r="L302" s="25">
        <f>IF(A302="","",DATE(YEAR(A302),MONTH(A302),1))</f>
        <v/>
      </c>
      <c r="M302" s="26">
        <f>IF(AND(E302="",F302=""),"",N(E302)-N(F302))</f>
        <v/>
      </c>
      <c r="N302" s="28" t="n"/>
    </row>
    <row r="303">
      <c r="A303" s="27" t="n"/>
      <c r="B303" s="28" t="n"/>
      <c r="C303" s="28" t="n"/>
      <c r="D303" s="28" t="n"/>
      <c r="E303" s="29" t="n"/>
      <c r="F303" s="29" t="n"/>
      <c r="G303" s="28" t="n"/>
      <c r="H303" s="28" t="n"/>
      <c r="I303" s="28" t="n"/>
      <c r="J303" s="28" t="n"/>
      <c r="K303" s="24">
        <f>IF(D303="","",IFERROR(INDEX(Setup!$B$24:$B$59,MATCH(D303,Setup!$A$24:$A$59,0)),"Check category"))</f>
        <v/>
      </c>
      <c r="L303" s="25">
        <f>IF(A303="","",DATE(YEAR(A303),MONTH(A303),1))</f>
        <v/>
      </c>
      <c r="M303" s="26">
        <f>IF(AND(E303="",F303=""),"",N(E303)-N(F303))</f>
        <v/>
      </c>
      <c r="N303" s="28" t="n"/>
    </row>
    <row r="304">
      <c r="A304" s="27" t="n"/>
      <c r="B304" s="28" t="n"/>
      <c r="C304" s="28" t="n"/>
      <c r="D304" s="28" t="n"/>
      <c r="E304" s="29" t="n"/>
      <c r="F304" s="29" t="n"/>
      <c r="G304" s="28" t="n"/>
      <c r="H304" s="28" t="n"/>
      <c r="I304" s="28" t="n"/>
      <c r="J304" s="28" t="n"/>
      <c r="K304" s="24">
        <f>IF(D304="","",IFERROR(INDEX(Setup!$B$24:$B$59,MATCH(D304,Setup!$A$24:$A$59,0)),"Check category"))</f>
        <v/>
      </c>
      <c r="L304" s="25">
        <f>IF(A304="","",DATE(YEAR(A304),MONTH(A304),1))</f>
        <v/>
      </c>
      <c r="M304" s="26">
        <f>IF(AND(E304="",F304=""),"",N(E304)-N(F304))</f>
        <v/>
      </c>
      <c r="N304" s="28" t="n"/>
    </row>
    <row r="305">
      <c r="A305" s="27" t="n"/>
      <c r="B305" s="28" t="n"/>
      <c r="C305" s="28" t="n"/>
      <c r="D305" s="28" t="n"/>
      <c r="E305" s="29" t="n"/>
      <c r="F305" s="29" t="n"/>
      <c r="G305" s="28" t="n"/>
      <c r="H305" s="28" t="n"/>
      <c r="I305" s="28" t="n"/>
      <c r="J305" s="28" t="n"/>
      <c r="K305" s="24">
        <f>IF(D305="","",IFERROR(INDEX(Setup!$B$24:$B$59,MATCH(D305,Setup!$A$24:$A$59,0)),"Check category"))</f>
        <v/>
      </c>
      <c r="L305" s="25">
        <f>IF(A305="","",DATE(YEAR(A305),MONTH(A305),1))</f>
        <v/>
      </c>
      <c r="M305" s="26">
        <f>IF(AND(E305="",F305=""),"",N(E305)-N(F305))</f>
        <v/>
      </c>
      <c r="N305" s="28" t="n"/>
    </row>
    <row r="306">
      <c r="A306" s="27" t="n"/>
      <c r="B306" s="28" t="n"/>
      <c r="C306" s="28" t="n"/>
      <c r="D306" s="28" t="n"/>
      <c r="E306" s="29" t="n"/>
      <c r="F306" s="29" t="n"/>
      <c r="G306" s="28" t="n"/>
      <c r="H306" s="28" t="n"/>
      <c r="I306" s="28" t="n"/>
      <c r="J306" s="28" t="n"/>
      <c r="K306" s="24">
        <f>IF(D306="","",IFERROR(INDEX(Setup!$B$24:$B$59,MATCH(D306,Setup!$A$24:$A$59,0)),"Check category"))</f>
        <v/>
      </c>
      <c r="L306" s="25">
        <f>IF(A306="","",DATE(YEAR(A306),MONTH(A306),1))</f>
        <v/>
      </c>
      <c r="M306" s="26">
        <f>IF(AND(E306="",F306=""),"",N(E306)-N(F306))</f>
        <v/>
      </c>
      <c r="N306" s="28" t="n"/>
    </row>
    <row r="307">
      <c r="A307" s="27" t="n"/>
      <c r="B307" s="28" t="n"/>
      <c r="C307" s="28" t="n"/>
      <c r="D307" s="28" t="n"/>
      <c r="E307" s="29" t="n"/>
      <c r="F307" s="29" t="n"/>
      <c r="G307" s="28" t="n"/>
      <c r="H307" s="28" t="n"/>
      <c r="I307" s="28" t="n"/>
      <c r="J307" s="28" t="n"/>
      <c r="K307" s="24">
        <f>IF(D307="","",IFERROR(INDEX(Setup!$B$24:$B$59,MATCH(D307,Setup!$A$24:$A$59,0)),"Check category"))</f>
        <v/>
      </c>
      <c r="L307" s="25">
        <f>IF(A307="","",DATE(YEAR(A307),MONTH(A307),1))</f>
        <v/>
      </c>
      <c r="M307" s="26">
        <f>IF(AND(E307="",F307=""),"",N(E307)-N(F307))</f>
        <v/>
      </c>
      <c r="N307" s="28" t="n"/>
    </row>
    <row r="308">
      <c r="A308" s="27" t="n"/>
      <c r="B308" s="28" t="n"/>
      <c r="C308" s="28" t="n"/>
      <c r="D308" s="28" t="n"/>
      <c r="E308" s="29" t="n"/>
      <c r="F308" s="29" t="n"/>
      <c r="G308" s="28" t="n"/>
      <c r="H308" s="28" t="n"/>
      <c r="I308" s="28" t="n"/>
      <c r="J308" s="28" t="n"/>
      <c r="K308" s="24">
        <f>IF(D308="","",IFERROR(INDEX(Setup!$B$24:$B$59,MATCH(D308,Setup!$A$24:$A$59,0)),"Check category"))</f>
        <v/>
      </c>
      <c r="L308" s="25">
        <f>IF(A308="","",DATE(YEAR(A308),MONTH(A308),1))</f>
        <v/>
      </c>
      <c r="M308" s="26">
        <f>IF(AND(E308="",F308=""),"",N(E308)-N(F308))</f>
        <v/>
      </c>
      <c r="N308" s="28" t="n"/>
    </row>
    <row r="309">
      <c r="A309" s="27" t="n"/>
      <c r="B309" s="28" t="n"/>
      <c r="C309" s="28" t="n"/>
      <c r="D309" s="28" t="n"/>
      <c r="E309" s="29" t="n"/>
      <c r="F309" s="29" t="n"/>
      <c r="G309" s="28" t="n"/>
      <c r="H309" s="28" t="n"/>
      <c r="I309" s="28" t="n"/>
      <c r="J309" s="28" t="n"/>
      <c r="K309" s="24">
        <f>IF(D309="","",IFERROR(INDEX(Setup!$B$24:$B$59,MATCH(D309,Setup!$A$24:$A$59,0)),"Check category"))</f>
        <v/>
      </c>
      <c r="L309" s="25">
        <f>IF(A309="","",DATE(YEAR(A309),MONTH(A309),1))</f>
        <v/>
      </c>
      <c r="M309" s="26">
        <f>IF(AND(E309="",F309=""),"",N(E309)-N(F309))</f>
        <v/>
      </c>
      <c r="N309" s="28" t="n"/>
    </row>
    <row r="310">
      <c r="A310" s="27" t="n"/>
      <c r="B310" s="28" t="n"/>
      <c r="C310" s="28" t="n"/>
      <c r="D310" s="28" t="n"/>
      <c r="E310" s="29" t="n"/>
      <c r="F310" s="29" t="n"/>
      <c r="G310" s="28" t="n"/>
      <c r="H310" s="28" t="n"/>
      <c r="I310" s="28" t="n"/>
      <c r="J310" s="28" t="n"/>
      <c r="K310" s="24">
        <f>IF(D310="","",IFERROR(INDEX(Setup!$B$24:$B$59,MATCH(D310,Setup!$A$24:$A$59,0)),"Check category"))</f>
        <v/>
      </c>
      <c r="L310" s="25">
        <f>IF(A310="","",DATE(YEAR(A310),MONTH(A310),1))</f>
        <v/>
      </c>
      <c r="M310" s="26">
        <f>IF(AND(E310="",F310=""),"",N(E310)-N(F310))</f>
        <v/>
      </c>
      <c r="N310" s="28" t="n"/>
    </row>
    <row r="311">
      <c r="A311" s="27" t="n"/>
      <c r="B311" s="28" t="n"/>
      <c r="C311" s="28" t="n"/>
      <c r="D311" s="28" t="n"/>
      <c r="E311" s="29" t="n"/>
      <c r="F311" s="29" t="n"/>
      <c r="G311" s="28" t="n"/>
      <c r="H311" s="28" t="n"/>
      <c r="I311" s="28" t="n"/>
      <c r="J311" s="28" t="n"/>
      <c r="K311" s="24">
        <f>IF(D311="","",IFERROR(INDEX(Setup!$B$24:$B$59,MATCH(D311,Setup!$A$24:$A$59,0)),"Check category"))</f>
        <v/>
      </c>
      <c r="L311" s="25">
        <f>IF(A311="","",DATE(YEAR(A311),MONTH(A311),1))</f>
        <v/>
      </c>
      <c r="M311" s="26">
        <f>IF(AND(E311="",F311=""),"",N(E311)-N(F311))</f>
        <v/>
      </c>
      <c r="N311" s="28" t="n"/>
    </row>
    <row r="312">
      <c r="A312" s="27" t="n"/>
      <c r="B312" s="28" t="n"/>
      <c r="C312" s="28" t="n"/>
      <c r="D312" s="28" t="n"/>
      <c r="E312" s="29" t="n"/>
      <c r="F312" s="29" t="n"/>
      <c r="G312" s="28" t="n"/>
      <c r="H312" s="28" t="n"/>
      <c r="I312" s="28" t="n"/>
      <c r="J312" s="28" t="n"/>
      <c r="K312" s="24">
        <f>IF(D312="","",IFERROR(INDEX(Setup!$B$24:$B$59,MATCH(D312,Setup!$A$24:$A$59,0)),"Check category"))</f>
        <v/>
      </c>
      <c r="L312" s="25">
        <f>IF(A312="","",DATE(YEAR(A312),MONTH(A312),1))</f>
        <v/>
      </c>
      <c r="M312" s="26">
        <f>IF(AND(E312="",F312=""),"",N(E312)-N(F312))</f>
        <v/>
      </c>
      <c r="N312" s="28" t="n"/>
    </row>
    <row r="313">
      <c r="A313" s="27" t="n"/>
      <c r="B313" s="28" t="n"/>
      <c r="C313" s="28" t="n"/>
      <c r="D313" s="28" t="n"/>
      <c r="E313" s="29" t="n"/>
      <c r="F313" s="29" t="n"/>
      <c r="G313" s="28" t="n"/>
      <c r="H313" s="28" t="n"/>
      <c r="I313" s="28" t="n"/>
      <c r="J313" s="28" t="n"/>
      <c r="K313" s="24">
        <f>IF(D313="","",IFERROR(INDEX(Setup!$B$24:$B$59,MATCH(D313,Setup!$A$24:$A$59,0)),"Check category"))</f>
        <v/>
      </c>
      <c r="L313" s="25">
        <f>IF(A313="","",DATE(YEAR(A313),MONTH(A313),1))</f>
        <v/>
      </c>
      <c r="M313" s="26">
        <f>IF(AND(E313="",F313=""),"",N(E313)-N(F313))</f>
        <v/>
      </c>
      <c r="N313" s="28" t="n"/>
    </row>
    <row r="314">
      <c r="A314" s="27" t="n"/>
      <c r="B314" s="28" t="n"/>
      <c r="C314" s="28" t="n"/>
      <c r="D314" s="28" t="n"/>
      <c r="E314" s="29" t="n"/>
      <c r="F314" s="29" t="n"/>
      <c r="G314" s="28" t="n"/>
      <c r="H314" s="28" t="n"/>
      <c r="I314" s="28" t="n"/>
      <c r="J314" s="28" t="n"/>
      <c r="K314" s="24">
        <f>IF(D314="","",IFERROR(INDEX(Setup!$B$24:$B$59,MATCH(D314,Setup!$A$24:$A$59,0)),"Check category"))</f>
        <v/>
      </c>
      <c r="L314" s="25">
        <f>IF(A314="","",DATE(YEAR(A314),MONTH(A314),1))</f>
        <v/>
      </c>
      <c r="M314" s="26">
        <f>IF(AND(E314="",F314=""),"",N(E314)-N(F314))</f>
        <v/>
      </c>
      <c r="N314" s="28" t="n"/>
    </row>
    <row r="315">
      <c r="A315" s="27" t="n"/>
      <c r="B315" s="28" t="n"/>
      <c r="C315" s="28" t="n"/>
      <c r="D315" s="28" t="n"/>
      <c r="E315" s="29" t="n"/>
      <c r="F315" s="29" t="n"/>
      <c r="G315" s="28" t="n"/>
      <c r="H315" s="28" t="n"/>
      <c r="I315" s="28" t="n"/>
      <c r="J315" s="28" t="n"/>
      <c r="K315" s="24">
        <f>IF(D315="","",IFERROR(INDEX(Setup!$B$24:$B$59,MATCH(D315,Setup!$A$24:$A$59,0)),"Check category"))</f>
        <v/>
      </c>
      <c r="L315" s="25">
        <f>IF(A315="","",DATE(YEAR(A315),MONTH(A315),1))</f>
        <v/>
      </c>
      <c r="M315" s="26">
        <f>IF(AND(E315="",F315=""),"",N(E315)-N(F315))</f>
        <v/>
      </c>
      <c r="N315" s="28" t="n"/>
    </row>
    <row r="316">
      <c r="A316" s="27" t="n"/>
      <c r="B316" s="28" t="n"/>
      <c r="C316" s="28" t="n"/>
      <c r="D316" s="28" t="n"/>
      <c r="E316" s="29" t="n"/>
      <c r="F316" s="29" t="n"/>
      <c r="G316" s="28" t="n"/>
      <c r="H316" s="28" t="n"/>
      <c r="I316" s="28" t="n"/>
      <c r="J316" s="28" t="n"/>
      <c r="K316" s="24">
        <f>IF(D316="","",IFERROR(INDEX(Setup!$B$24:$B$59,MATCH(D316,Setup!$A$24:$A$59,0)),"Check category"))</f>
        <v/>
      </c>
      <c r="L316" s="25">
        <f>IF(A316="","",DATE(YEAR(A316),MONTH(A316),1))</f>
        <v/>
      </c>
      <c r="M316" s="26">
        <f>IF(AND(E316="",F316=""),"",N(E316)-N(F316))</f>
        <v/>
      </c>
      <c r="N316" s="28" t="n"/>
    </row>
    <row r="317">
      <c r="A317" s="27" t="n"/>
      <c r="B317" s="28" t="n"/>
      <c r="C317" s="28" t="n"/>
      <c r="D317" s="28" t="n"/>
      <c r="E317" s="29" t="n"/>
      <c r="F317" s="29" t="n"/>
      <c r="G317" s="28" t="n"/>
      <c r="H317" s="28" t="n"/>
      <c r="I317" s="28" t="n"/>
      <c r="J317" s="28" t="n"/>
      <c r="K317" s="24">
        <f>IF(D317="","",IFERROR(INDEX(Setup!$B$24:$B$59,MATCH(D317,Setup!$A$24:$A$59,0)),"Check category"))</f>
        <v/>
      </c>
      <c r="L317" s="25">
        <f>IF(A317="","",DATE(YEAR(A317),MONTH(A317),1))</f>
        <v/>
      </c>
      <c r="M317" s="26">
        <f>IF(AND(E317="",F317=""),"",N(E317)-N(F317))</f>
        <v/>
      </c>
      <c r="N317" s="28" t="n"/>
    </row>
    <row r="318">
      <c r="A318" s="27" t="n"/>
      <c r="B318" s="28" t="n"/>
      <c r="C318" s="28" t="n"/>
      <c r="D318" s="28" t="n"/>
      <c r="E318" s="29" t="n"/>
      <c r="F318" s="29" t="n"/>
      <c r="G318" s="28" t="n"/>
      <c r="H318" s="28" t="n"/>
      <c r="I318" s="28" t="n"/>
      <c r="J318" s="28" t="n"/>
      <c r="K318" s="24">
        <f>IF(D318="","",IFERROR(INDEX(Setup!$B$24:$B$59,MATCH(D318,Setup!$A$24:$A$59,0)),"Check category"))</f>
        <v/>
      </c>
      <c r="L318" s="25">
        <f>IF(A318="","",DATE(YEAR(A318),MONTH(A318),1))</f>
        <v/>
      </c>
      <c r="M318" s="26">
        <f>IF(AND(E318="",F318=""),"",N(E318)-N(F318))</f>
        <v/>
      </c>
      <c r="N318" s="28" t="n"/>
    </row>
    <row r="319">
      <c r="A319" s="27" t="n"/>
      <c r="B319" s="28" t="n"/>
      <c r="C319" s="28" t="n"/>
      <c r="D319" s="28" t="n"/>
      <c r="E319" s="29" t="n"/>
      <c r="F319" s="29" t="n"/>
      <c r="G319" s="28" t="n"/>
      <c r="H319" s="28" t="n"/>
      <c r="I319" s="28" t="n"/>
      <c r="J319" s="28" t="n"/>
      <c r="K319" s="24">
        <f>IF(D319="","",IFERROR(INDEX(Setup!$B$24:$B$59,MATCH(D319,Setup!$A$24:$A$59,0)),"Check category"))</f>
        <v/>
      </c>
      <c r="L319" s="25">
        <f>IF(A319="","",DATE(YEAR(A319),MONTH(A319),1))</f>
        <v/>
      </c>
      <c r="M319" s="26">
        <f>IF(AND(E319="",F319=""),"",N(E319)-N(F319))</f>
        <v/>
      </c>
      <c r="N319" s="28" t="n"/>
    </row>
    <row r="320">
      <c r="A320" s="27" t="n"/>
      <c r="B320" s="28" t="n"/>
      <c r="C320" s="28" t="n"/>
      <c r="D320" s="28" t="n"/>
      <c r="E320" s="29" t="n"/>
      <c r="F320" s="29" t="n"/>
      <c r="G320" s="28" t="n"/>
      <c r="H320" s="28" t="n"/>
      <c r="I320" s="28" t="n"/>
      <c r="J320" s="28" t="n"/>
      <c r="K320" s="24">
        <f>IF(D320="","",IFERROR(INDEX(Setup!$B$24:$B$59,MATCH(D320,Setup!$A$24:$A$59,0)),"Check category"))</f>
        <v/>
      </c>
      <c r="L320" s="25">
        <f>IF(A320="","",DATE(YEAR(A320),MONTH(A320),1))</f>
        <v/>
      </c>
      <c r="M320" s="26">
        <f>IF(AND(E320="",F320=""),"",N(E320)-N(F320))</f>
        <v/>
      </c>
      <c r="N320" s="28" t="n"/>
    </row>
    <row r="321">
      <c r="A321" s="27" t="n"/>
      <c r="B321" s="28" t="n"/>
      <c r="C321" s="28" t="n"/>
      <c r="D321" s="28" t="n"/>
      <c r="E321" s="29" t="n"/>
      <c r="F321" s="29" t="n"/>
      <c r="G321" s="28" t="n"/>
      <c r="H321" s="28" t="n"/>
      <c r="I321" s="28" t="n"/>
      <c r="J321" s="28" t="n"/>
      <c r="K321" s="24">
        <f>IF(D321="","",IFERROR(INDEX(Setup!$B$24:$B$59,MATCH(D321,Setup!$A$24:$A$59,0)),"Check category"))</f>
        <v/>
      </c>
      <c r="L321" s="25">
        <f>IF(A321="","",DATE(YEAR(A321),MONTH(A321),1))</f>
        <v/>
      </c>
      <c r="M321" s="26">
        <f>IF(AND(E321="",F321=""),"",N(E321)-N(F321))</f>
        <v/>
      </c>
      <c r="N321" s="28" t="n"/>
    </row>
    <row r="322">
      <c r="A322" s="27" t="n"/>
      <c r="B322" s="28" t="n"/>
      <c r="C322" s="28" t="n"/>
      <c r="D322" s="28" t="n"/>
      <c r="E322" s="29" t="n"/>
      <c r="F322" s="29" t="n"/>
      <c r="G322" s="28" t="n"/>
      <c r="H322" s="28" t="n"/>
      <c r="I322" s="28" t="n"/>
      <c r="J322" s="28" t="n"/>
      <c r="K322" s="24">
        <f>IF(D322="","",IFERROR(INDEX(Setup!$B$24:$B$59,MATCH(D322,Setup!$A$24:$A$59,0)),"Check category"))</f>
        <v/>
      </c>
      <c r="L322" s="25">
        <f>IF(A322="","",DATE(YEAR(A322),MONTH(A322),1))</f>
        <v/>
      </c>
      <c r="M322" s="26">
        <f>IF(AND(E322="",F322=""),"",N(E322)-N(F322))</f>
        <v/>
      </c>
      <c r="N322" s="28" t="n"/>
    </row>
    <row r="323">
      <c r="A323" s="27" t="n"/>
      <c r="B323" s="28" t="n"/>
      <c r="C323" s="28" t="n"/>
      <c r="D323" s="28" t="n"/>
      <c r="E323" s="29" t="n"/>
      <c r="F323" s="29" t="n"/>
      <c r="G323" s="28" t="n"/>
      <c r="H323" s="28" t="n"/>
      <c r="I323" s="28" t="n"/>
      <c r="J323" s="28" t="n"/>
      <c r="K323" s="24">
        <f>IF(D323="","",IFERROR(INDEX(Setup!$B$24:$B$59,MATCH(D323,Setup!$A$24:$A$59,0)),"Check category"))</f>
        <v/>
      </c>
      <c r="L323" s="25">
        <f>IF(A323="","",DATE(YEAR(A323),MONTH(A323),1))</f>
        <v/>
      </c>
      <c r="M323" s="26">
        <f>IF(AND(E323="",F323=""),"",N(E323)-N(F323))</f>
        <v/>
      </c>
      <c r="N323" s="28" t="n"/>
    </row>
    <row r="324">
      <c r="A324" s="27" t="n"/>
      <c r="B324" s="28" t="n"/>
      <c r="C324" s="28" t="n"/>
      <c r="D324" s="28" t="n"/>
      <c r="E324" s="29" t="n"/>
      <c r="F324" s="29" t="n"/>
      <c r="G324" s="28" t="n"/>
      <c r="H324" s="28" t="n"/>
      <c r="I324" s="28" t="n"/>
      <c r="J324" s="28" t="n"/>
      <c r="K324" s="24">
        <f>IF(D324="","",IFERROR(INDEX(Setup!$B$24:$B$59,MATCH(D324,Setup!$A$24:$A$59,0)),"Check category"))</f>
        <v/>
      </c>
      <c r="L324" s="25">
        <f>IF(A324="","",DATE(YEAR(A324),MONTH(A324),1))</f>
        <v/>
      </c>
      <c r="M324" s="26">
        <f>IF(AND(E324="",F324=""),"",N(E324)-N(F324))</f>
        <v/>
      </c>
      <c r="N324" s="28" t="n"/>
    </row>
    <row r="325">
      <c r="A325" s="27" t="n"/>
      <c r="B325" s="28" t="n"/>
      <c r="C325" s="28" t="n"/>
      <c r="D325" s="28" t="n"/>
      <c r="E325" s="29" t="n"/>
      <c r="F325" s="29" t="n"/>
      <c r="G325" s="28" t="n"/>
      <c r="H325" s="28" t="n"/>
      <c r="I325" s="28" t="n"/>
      <c r="J325" s="28" t="n"/>
      <c r="K325" s="24">
        <f>IF(D325="","",IFERROR(INDEX(Setup!$B$24:$B$59,MATCH(D325,Setup!$A$24:$A$59,0)),"Check category"))</f>
        <v/>
      </c>
      <c r="L325" s="25">
        <f>IF(A325="","",DATE(YEAR(A325),MONTH(A325),1))</f>
        <v/>
      </c>
      <c r="M325" s="26">
        <f>IF(AND(E325="",F325=""),"",N(E325)-N(F325))</f>
        <v/>
      </c>
      <c r="N325" s="28" t="n"/>
    </row>
    <row r="326">
      <c r="A326" s="27" t="n"/>
      <c r="B326" s="28" t="n"/>
      <c r="C326" s="28" t="n"/>
      <c r="D326" s="28" t="n"/>
      <c r="E326" s="29" t="n"/>
      <c r="F326" s="29" t="n"/>
      <c r="G326" s="28" t="n"/>
      <c r="H326" s="28" t="n"/>
      <c r="I326" s="28" t="n"/>
      <c r="J326" s="28" t="n"/>
      <c r="K326" s="24">
        <f>IF(D326="","",IFERROR(INDEX(Setup!$B$24:$B$59,MATCH(D326,Setup!$A$24:$A$59,0)),"Check category"))</f>
        <v/>
      </c>
      <c r="L326" s="25">
        <f>IF(A326="","",DATE(YEAR(A326),MONTH(A326),1))</f>
        <v/>
      </c>
      <c r="M326" s="26">
        <f>IF(AND(E326="",F326=""),"",N(E326)-N(F326))</f>
        <v/>
      </c>
      <c r="N326" s="28" t="n"/>
    </row>
    <row r="327">
      <c r="A327" s="27" t="n"/>
      <c r="B327" s="28" t="n"/>
      <c r="C327" s="28" t="n"/>
      <c r="D327" s="28" t="n"/>
      <c r="E327" s="29" t="n"/>
      <c r="F327" s="29" t="n"/>
      <c r="G327" s="28" t="n"/>
      <c r="H327" s="28" t="n"/>
      <c r="I327" s="28" t="n"/>
      <c r="J327" s="28" t="n"/>
      <c r="K327" s="24">
        <f>IF(D327="","",IFERROR(INDEX(Setup!$B$24:$B$59,MATCH(D327,Setup!$A$24:$A$59,0)),"Check category"))</f>
        <v/>
      </c>
      <c r="L327" s="25">
        <f>IF(A327="","",DATE(YEAR(A327),MONTH(A327),1))</f>
        <v/>
      </c>
      <c r="M327" s="26">
        <f>IF(AND(E327="",F327=""),"",N(E327)-N(F327))</f>
        <v/>
      </c>
      <c r="N327" s="28" t="n"/>
    </row>
    <row r="328">
      <c r="A328" s="27" t="n"/>
      <c r="B328" s="28" t="n"/>
      <c r="C328" s="28" t="n"/>
      <c r="D328" s="28" t="n"/>
      <c r="E328" s="29" t="n"/>
      <c r="F328" s="29" t="n"/>
      <c r="G328" s="28" t="n"/>
      <c r="H328" s="28" t="n"/>
      <c r="I328" s="28" t="n"/>
      <c r="J328" s="28" t="n"/>
      <c r="K328" s="24">
        <f>IF(D328="","",IFERROR(INDEX(Setup!$B$24:$B$59,MATCH(D328,Setup!$A$24:$A$59,0)),"Check category"))</f>
        <v/>
      </c>
      <c r="L328" s="25">
        <f>IF(A328="","",DATE(YEAR(A328),MONTH(A328),1))</f>
        <v/>
      </c>
      <c r="M328" s="26">
        <f>IF(AND(E328="",F328=""),"",N(E328)-N(F328))</f>
        <v/>
      </c>
      <c r="N328" s="28" t="n"/>
    </row>
    <row r="329">
      <c r="A329" s="27" t="n"/>
      <c r="B329" s="28" t="n"/>
      <c r="C329" s="28" t="n"/>
      <c r="D329" s="28" t="n"/>
      <c r="E329" s="29" t="n"/>
      <c r="F329" s="29" t="n"/>
      <c r="G329" s="28" t="n"/>
      <c r="H329" s="28" t="n"/>
      <c r="I329" s="28" t="n"/>
      <c r="J329" s="28" t="n"/>
      <c r="K329" s="24">
        <f>IF(D329="","",IFERROR(INDEX(Setup!$B$24:$B$59,MATCH(D329,Setup!$A$24:$A$59,0)),"Check category"))</f>
        <v/>
      </c>
      <c r="L329" s="25">
        <f>IF(A329="","",DATE(YEAR(A329),MONTH(A329),1))</f>
        <v/>
      </c>
      <c r="M329" s="26">
        <f>IF(AND(E329="",F329=""),"",N(E329)-N(F329))</f>
        <v/>
      </c>
      <c r="N329" s="28" t="n"/>
    </row>
    <row r="330">
      <c r="A330" s="27" t="n"/>
      <c r="B330" s="28" t="n"/>
      <c r="C330" s="28" t="n"/>
      <c r="D330" s="28" t="n"/>
      <c r="E330" s="29" t="n"/>
      <c r="F330" s="29" t="n"/>
      <c r="G330" s="28" t="n"/>
      <c r="H330" s="28" t="n"/>
      <c r="I330" s="28" t="n"/>
      <c r="J330" s="28" t="n"/>
      <c r="K330" s="24">
        <f>IF(D330="","",IFERROR(INDEX(Setup!$B$24:$B$59,MATCH(D330,Setup!$A$24:$A$59,0)),"Check category"))</f>
        <v/>
      </c>
      <c r="L330" s="25">
        <f>IF(A330="","",DATE(YEAR(A330),MONTH(A330),1))</f>
        <v/>
      </c>
      <c r="M330" s="26">
        <f>IF(AND(E330="",F330=""),"",N(E330)-N(F330))</f>
        <v/>
      </c>
      <c r="N330" s="28" t="n"/>
    </row>
    <row r="331">
      <c r="A331" s="27" t="n"/>
      <c r="B331" s="28" t="n"/>
      <c r="C331" s="28" t="n"/>
      <c r="D331" s="28" t="n"/>
      <c r="E331" s="29" t="n"/>
      <c r="F331" s="29" t="n"/>
      <c r="G331" s="28" t="n"/>
      <c r="H331" s="28" t="n"/>
      <c r="I331" s="28" t="n"/>
      <c r="J331" s="28" t="n"/>
      <c r="K331" s="24">
        <f>IF(D331="","",IFERROR(INDEX(Setup!$B$24:$B$59,MATCH(D331,Setup!$A$24:$A$59,0)),"Check category"))</f>
        <v/>
      </c>
      <c r="L331" s="25">
        <f>IF(A331="","",DATE(YEAR(A331),MONTH(A331),1))</f>
        <v/>
      </c>
      <c r="M331" s="26">
        <f>IF(AND(E331="",F331=""),"",N(E331)-N(F331))</f>
        <v/>
      </c>
      <c r="N331" s="28" t="n"/>
    </row>
    <row r="332">
      <c r="A332" s="27" t="n"/>
      <c r="B332" s="28" t="n"/>
      <c r="C332" s="28" t="n"/>
      <c r="D332" s="28" t="n"/>
      <c r="E332" s="29" t="n"/>
      <c r="F332" s="29" t="n"/>
      <c r="G332" s="28" t="n"/>
      <c r="H332" s="28" t="n"/>
      <c r="I332" s="28" t="n"/>
      <c r="J332" s="28" t="n"/>
      <c r="K332" s="24">
        <f>IF(D332="","",IFERROR(INDEX(Setup!$B$24:$B$59,MATCH(D332,Setup!$A$24:$A$59,0)),"Check category"))</f>
        <v/>
      </c>
      <c r="L332" s="25">
        <f>IF(A332="","",DATE(YEAR(A332),MONTH(A332),1))</f>
        <v/>
      </c>
      <c r="M332" s="26">
        <f>IF(AND(E332="",F332=""),"",N(E332)-N(F332))</f>
        <v/>
      </c>
      <c r="N332" s="28" t="n"/>
    </row>
    <row r="333">
      <c r="A333" s="27" t="n"/>
      <c r="B333" s="28" t="n"/>
      <c r="C333" s="28" t="n"/>
      <c r="D333" s="28" t="n"/>
      <c r="E333" s="29" t="n"/>
      <c r="F333" s="29" t="n"/>
      <c r="G333" s="28" t="n"/>
      <c r="H333" s="28" t="n"/>
      <c r="I333" s="28" t="n"/>
      <c r="J333" s="28" t="n"/>
      <c r="K333" s="24">
        <f>IF(D333="","",IFERROR(INDEX(Setup!$B$24:$B$59,MATCH(D333,Setup!$A$24:$A$59,0)),"Check category"))</f>
        <v/>
      </c>
      <c r="L333" s="25">
        <f>IF(A333="","",DATE(YEAR(A333),MONTH(A333),1))</f>
        <v/>
      </c>
      <c r="M333" s="26">
        <f>IF(AND(E333="",F333=""),"",N(E333)-N(F333))</f>
        <v/>
      </c>
      <c r="N333" s="28" t="n"/>
    </row>
    <row r="334">
      <c r="A334" s="27" t="n"/>
      <c r="B334" s="28" t="n"/>
      <c r="C334" s="28" t="n"/>
      <c r="D334" s="28" t="n"/>
      <c r="E334" s="29" t="n"/>
      <c r="F334" s="29" t="n"/>
      <c r="G334" s="28" t="n"/>
      <c r="H334" s="28" t="n"/>
      <c r="I334" s="28" t="n"/>
      <c r="J334" s="28" t="n"/>
      <c r="K334" s="24">
        <f>IF(D334="","",IFERROR(INDEX(Setup!$B$24:$B$59,MATCH(D334,Setup!$A$24:$A$59,0)),"Check category"))</f>
        <v/>
      </c>
      <c r="L334" s="25">
        <f>IF(A334="","",DATE(YEAR(A334),MONTH(A334),1))</f>
        <v/>
      </c>
      <c r="M334" s="26">
        <f>IF(AND(E334="",F334=""),"",N(E334)-N(F334))</f>
        <v/>
      </c>
      <c r="N334" s="28" t="n"/>
    </row>
    <row r="335">
      <c r="A335" s="27" t="n"/>
      <c r="B335" s="28" t="n"/>
      <c r="C335" s="28" t="n"/>
      <c r="D335" s="28" t="n"/>
      <c r="E335" s="29" t="n"/>
      <c r="F335" s="29" t="n"/>
      <c r="G335" s="28" t="n"/>
      <c r="H335" s="28" t="n"/>
      <c r="I335" s="28" t="n"/>
      <c r="J335" s="28" t="n"/>
      <c r="K335" s="24">
        <f>IF(D335="","",IFERROR(INDEX(Setup!$B$24:$B$59,MATCH(D335,Setup!$A$24:$A$59,0)),"Check category"))</f>
        <v/>
      </c>
      <c r="L335" s="25">
        <f>IF(A335="","",DATE(YEAR(A335),MONTH(A335),1))</f>
        <v/>
      </c>
      <c r="M335" s="26">
        <f>IF(AND(E335="",F335=""),"",N(E335)-N(F335))</f>
        <v/>
      </c>
      <c r="N335" s="28" t="n"/>
    </row>
    <row r="336">
      <c r="A336" s="27" t="n"/>
      <c r="B336" s="28" t="n"/>
      <c r="C336" s="28" t="n"/>
      <c r="D336" s="28" t="n"/>
      <c r="E336" s="29" t="n"/>
      <c r="F336" s="29" t="n"/>
      <c r="G336" s="28" t="n"/>
      <c r="H336" s="28" t="n"/>
      <c r="I336" s="28" t="n"/>
      <c r="J336" s="28" t="n"/>
      <c r="K336" s="24">
        <f>IF(D336="","",IFERROR(INDEX(Setup!$B$24:$B$59,MATCH(D336,Setup!$A$24:$A$59,0)),"Check category"))</f>
        <v/>
      </c>
      <c r="L336" s="25">
        <f>IF(A336="","",DATE(YEAR(A336),MONTH(A336),1))</f>
        <v/>
      </c>
      <c r="M336" s="26">
        <f>IF(AND(E336="",F336=""),"",N(E336)-N(F336))</f>
        <v/>
      </c>
      <c r="N336" s="28" t="n"/>
    </row>
    <row r="337">
      <c r="A337" s="27" t="n"/>
      <c r="B337" s="28" t="n"/>
      <c r="C337" s="28" t="n"/>
      <c r="D337" s="28" t="n"/>
      <c r="E337" s="29" t="n"/>
      <c r="F337" s="29" t="n"/>
      <c r="G337" s="28" t="n"/>
      <c r="H337" s="28" t="n"/>
      <c r="I337" s="28" t="n"/>
      <c r="J337" s="28" t="n"/>
      <c r="K337" s="24">
        <f>IF(D337="","",IFERROR(INDEX(Setup!$B$24:$B$59,MATCH(D337,Setup!$A$24:$A$59,0)),"Check category"))</f>
        <v/>
      </c>
      <c r="L337" s="25">
        <f>IF(A337="","",DATE(YEAR(A337),MONTH(A337),1))</f>
        <v/>
      </c>
      <c r="M337" s="26">
        <f>IF(AND(E337="",F337=""),"",N(E337)-N(F337))</f>
        <v/>
      </c>
      <c r="N337" s="28" t="n"/>
    </row>
    <row r="338">
      <c r="A338" s="27" t="n"/>
      <c r="B338" s="28" t="n"/>
      <c r="C338" s="28" t="n"/>
      <c r="D338" s="28" t="n"/>
      <c r="E338" s="29" t="n"/>
      <c r="F338" s="29" t="n"/>
      <c r="G338" s="28" t="n"/>
      <c r="H338" s="28" t="n"/>
      <c r="I338" s="28" t="n"/>
      <c r="J338" s="28" t="n"/>
      <c r="K338" s="24">
        <f>IF(D338="","",IFERROR(INDEX(Setup!$B$24:$B$59,MATCH(D338,Setup!$A$24:$A$59,0)),"Check category"))</f>
        <v/>
      </c>
      <c r="L338" s="25">
        <f>IF(A338="","",DATE(YEAR(A338),MONTH(A338),1))</f>
        <v/>
      </c>
      <c r="M338" s="26">
        <f>IF(AND(E338="",F338=""),"",N(E338)-N(F338))</f>
        <v/>
      </c>
      <c r="N338" s="28" t="n"/>
    </row>
    <row r="339">
      <c r="A339" s="27" t="n"/>
      <c r="B339" s="28" t="n"/>
      <c r="C339" s="28" t="n"/>
      <c r="D339" s="28" t="n"/>
      <c r="E339" s="29" t="n"/>
      <c r="F339" s="29" t="n"/>
      <c r="G339" s="28" t="n"/>
      <c r="H339" s="28" t="n"/>
      <c r="I339" s="28" t="n"/>
      <c r="J339" s="28" t="n"/>
      <c r="K339" s="24">
        <f>IF(D339="","",IFERROR(INDEX(Setup!$B$24:$B$59,MATCH(D339,Setup!$A$24:$A$59,0)),"Check category"))</f>
        <v/>
      </c>
      <c r="L339" s="25">
        <f>IF(A339="","",DATE(YEAR(A339),MONTH(A339),1))</f>
        <v/>
      </c>
      <c r="M339" s="26">
        <f>IF(AND(E339="",F339=""),"",N(E339)-N(F339))</f>
        <v/>
      </c>
      <c r="N339" s="28" t="n"/>
    </row>
    <row r="340">
      <c r="A340" s="27" t="n"/>
      <c r="B340" s="28" t="n"/>
      <c r="C340" s="28" t="n"/>
      <c r="D340" s="28" t="n"/>
      <c r="E340" s="29" t="n"/>
      <c r="F340" s="29" t="n"/>
      <c r="G340" s="28" t="n"/>
      <c r="H340" s="28" t="n"/>
      <c r="I340" s="28" t="n"/>
      <c r="J340" s="28" t="n"/>
      <c r="K340" s="24">
        <f>IF(D340="","",IFERROR(INDEX(Setup!$B$24:$B$59,MATCH(D340,Setup!$A$24:$A$59,0)),"Check category"))</f>
        <v/>
      </c>
      <c r="L340" s="25">
        <f>IF(A340="","",DATE(YEAR(A340),MONTH(A340),1))</f>
        <v/>
      </c>
      <c r="M340" s="26">
        <f>IF(AND(E340="",F340=""),"",N(E340)-N(F340))</f>
        <v/>
      </c>
      <c r="N340" s="28" t="n"/>
    </row>
    <row r="341">
      <c r="A341" s="27" t="n"/>
      <c r="B341" s="28" t="n"/>
      <c r="C341" s="28" t="n"/>
      <c r="D341" s="28" t="n"/>
      <c r="E341" s="29" t="n"/>
      <c r="F341" s="29" t="n"/>
      <c r="G341" s="28" t="n"/>
      <c r="H341" s="28" t="n"/>
      <c r="I341" s="28" t="n"/>
      <c r="J341" s="28" t="n"/>
      <c r="K341" s="24">
        <f>IF(D341="","",IFERROR(INDEX(Setup!$B$24:$B$59,MATCH(D341,Setup!$A$24:$A$59,0)),"Check category"))</f>
        <v/>
      </c>
      <c r="L341" s="25">
        <f>IF(A341="","",DATE(YEAR(A341),MONTH(A341),1))</f>
        <v/>
      </c>
      <c r="M341" s="26">
        <f>IF(AND(E341="",F341=""),"",N(E341)-N(F341))</f>
        <v/>
      </c>
      <c r="N341" s="28" t="n"/>
    </row>
    <row r="342">
      <c r="A342" s="27" t="n"/>
      <c r="B342" s="28" t="n"/>
      <c r="C342" s="28" t="n"/>
      <c r="D342" s="28" t="n"/>
      <c r="E342" s="29" t="n"/>
      <c r="F342" s="29" t="n"/>
      <c r="G342" s="28" t="n"/>
      <c r="H342" s="28" t="n"/>
      <c r="I342" s="28" t="n"/>
      <c r="J342" s="28" t="n"/>
      <c r="K342" s="24">
        <f>IF(D342="","",IFERROR(INDEX(Setup!$B$24:$B$59,MATCH(D342,Setup!$A$24:$A$59,0)),"Check category"))</f>
        <v/>
      </c>
      <c r="L342" s="25">
        <f>IF(A342="","",DATE(YEAR(A342),MONTH(A342),1))</f>
        <v/>
      </c>
      <c r="M342" s="26">
        <f>IF(AND(E342="",F342=""),"",N(E342)-N(F342))</f>
        <v/>
      </c>
      <c r="N342" s="28" t="n"/>
    </row>
    <row r="343">
      <c r="A343" s="27" t="n"/>
      <c r="B343" s="28" t="n"/>
      <c r="C343" s="28" t="n"/>
      <c r="D343" s="28" t="n"/>
      <c r="E343" s="29" t="n"/>
      <c r="F343" s="29" t="n"/>
      <c r="G343" s="28" t="n"/>
      <c r="H343" s="28" t="n"/>
      <c r="I343" s="28" t="n"/>
      <c r="J343" s="28" t="n"/>
      <c r="K343" s="24">
        <f>IF(D343="","",IFERROR(INDEX(Setup!$B$24:$B$59,MATCH(D343,Setup!$A$24:$A$59,0)),"Check category"))</f>
        <v/>
      </c>
      <c r="L343" s="25">
        <f>IF(A343="","",DATE(YEAR(A343),MONTH(A343),1))</f>
        <v/>
      </c>
      <c r="M343" s="26">
        <f>IF(AND(E343="",F343=""),"",N(E343)-N(F343))</f>
        <v/>
      </c>
      <c r="N343" s="28" t="n"/>
    </row>
    <row r="344">
      <c r="A344" s="27" t="n"/>
      <c r="B344" s="28" t="n"/>
      <c r="C344" s="28" t="n"/>
      <c r="D344" s="28" t="n"/>
      <c r="E344" s="29" t="n"/>
      <c r="F344" s="29" t="n"/>
      <c r="G344" s="28" t="n"/>
      <c r="H344" s="28" t="n"/>
      <c r="I344" s="28" t="n"/>
      <c r="J344" s="28" t="n"/>
      <c r="K344" s="24">
        <f>IF(D344="","",IFERROR(INDEX(Setup!$B$24:$B$59,MATCH(D344,Setup!$A$24:$A$59,0)),"Check category"))</f>
        <v/>
      </c>
      <c r="L344" s="25">
        <f>IF(A344="","",DATE(YEAR(A344),MONTH(A344),1))</f>
        <v/>
      </c>
      <c r="M344" s="26">
        <f>IF(AND(E344="",F344=""),"",N(E344)-N(F344))</f>
        <v/>
      </c>
      <c r="N344" s="28" t="n"/>
    </row>
    <row r="345">
      <c r="A345" s="27" t="n"/>
      <c r="B345" s="28" t="n"/>
      <c r="C345" s="28" t="n"/>
      <c r="D345" s="28" t="n"/>
      <c r="E345" s="29" t="n"/>
      <c r="F345" s="29" t="n"/>
      <c r="G345" s="28" t="n"/>
      <c r="H345" s="28" t="n"/>
      <c r="I345" s="28" t="n"/>
      <c r="J345" s="28" t="n"/>
      <c r="K345" s="24">
        <f>IF(D345="","",IFERROR(INDEX(Setup!$B$24:$B$59,MATCH(D345,Setup!$A$24:$A$59,0)),"Check category"))</f>
        <v/>
      </c>
      <c r="L345" s="25">
        <f>IF(A345="","",DATE(YEAR(A345),MONTH(A345),1))</f>
        <v/>
      </c>
      <c r="M345" s="26">
        <f>IF(AND(E345="",F345=""),"",N(E345)-N(F345))</f>
        <v/>
      </c>
      <c r="N345" s="28" t="n"/>
    </row>
    <row r="346">
      <c r="A346" s="27" t="n"/>
      <c r="B346" s="28" t="n"/>
      <c r="C346" s="28" t="n"/>
      <c r="D346" s="28" t="n"/>
      <c r="E346" s="29" t="n"/>
      <c r="F346" s="29" t="n"/>
      <c r="G346" s="28" t="n"/>
      <c r="H346" s="28" t="n"/>
      <c r="I346" s="28" t="n"/>
      <c r="J346" s="28" t="n"/>
      <c r="K346" s="24">
        <f>IF(D346="","",IFERROR(INDEX(Setup!$B$24:$B$59,MATCH(D346,Setup!$A$24:$A$59,0)),"Check category"))</f>
        <v/>
      </c>
      <c r="L346" s="25">
        <f>IF(A346="","",DATE(YEAR(A346),MONTH(A346),1))</f>
        <v/>
      </c>
      <c r="M346" s="26">
        <f>IF(AND(E346="",F346=""),"",N(E346)-N(F346))</f>
        <v/>
      </c>
      <c r="N346" s="28" t="n"/>
    </row>
    <row r="347">
      <c r="A347" s="27" t="n"/>
      <c r="B347" s="28" t="n"/>
      <c r="C347" s="28" t="n"/>
      <c r="D347" s="28" t="n"/>
      <c r="E347" s="29" t="n"/>
      <c r="F347" s="29" t="n"/>
      <c r="G347" s="28" t="n"/>
      <c r="H347" s="28" t="n"/>
      <c r="I347" s="28" t="n"/>
      <c r="J347" s="28" t="n"/>
      <c r="K347" s="24">
        <f>IF(D347="","",IFERROR(INDEX(Setup!$B$24:$B$59,MATCH(D347,Setup!$A$24:$A$59,0)),"Check category"))</f>
        <v/>
      </c>
      <c r="L347" s="25">
        <f>IF(A347="","",DATE(YEAR(A347),MONTH(A347),1))</f>
        <v/>
      </c>
      <c r="M347" s="26">
        <f>IF(AND(E347="",F347=""),"",N(E347)-N(F347))</f>
        <v/>
      </c>
      <c r="N347" s="28" t="n"/>
    </row>
    <row r="348">
      <c r="A348" s="27" t="n"/>
      <c r="B348" s="28" t="n"/>
      <c r="C348" s="28" t="n"/>
      <c r="D348" s="28" t="n"/>
      <c r="E348" s="29" t="n"/>
      <c r="F348" s="29" t="n"/>
      <c r="G348" s="28" t="n"/>
      <c r="H348" s="28" t="n"/>
      <c r="I348" s="28" t="n"/>
      <c r="J348" s="28" t="n"/>
      <c r="K348" s="24">
        <f>IF(D348="","",IFERROR(INDEX(Setup!$B$24:$B$59,MATCH(D348,Setup!$A$24:$A$59,0)),"Check category"))</f>
        <v/>
      </c>
      <c r="L348" s="25">
        <f>IF(A348="","",DATE(YEAR(A348),MONTH(A348),1))</f>
        <v/>
      </c>
      <c r="M348" s="26">
        <f>IF(AND(E348="",F348=""),"",N(E348)-N(F348))</f>
        <v/>
      </c>
      <c r="N348" s="28" t="n"/>
    </row>
    <row r="349">
      <c r="A349" s="27" t="n"/>
      <c r="B349" s="28" t="n"/>
      <c r="C349" s="28" t="n"/>
      <c r="D349" s="28" t="n"/>
      <c r="E349" s="29" t="n"/>
      <c r="F349" s="29" t="n"/>
      <c r="G349" s="28" t="n"/>
      <c r="H349" s="28" t="n"/>
      <c r="I349" s="28" t="n"/>
      <c r="J349" s="28" t="n"/>
      <c r="K349" s="24">
        <f>IF(D349="","",IFERROR(INDEX(Setup!$B$24:$B$59,MATCH(D349,Setup!$A$24:$A$59,0)),"Check category"))</f>
        <v/>
      </c>
      <c r="L349" s="25">
        <f>IF(A349="","",DATE(YEAR(A349),MONTH(A349),1))</f>
        <v/>
      </c>
      <c r="M349" s="26">
        <f>IF(AND(E349="",F349=""),"",N(E349)-N(F349))</f>
        <v/>
      </c>
      <c r="N349" s="28" t="n"/>
    </row>
    <row r="350">
      <c r="A350" s="27" t="n"/>
      <c r="B350" s="28" t="n"/>
      <c r="C350" s="28" t="n"/>
      <c r="D350" s="28" t="n"/>
      <c r="E350" s="29" t="n"/>
      <c r="F350" s="29" t="n"/>
      <c r="G350" s="28" t="n"/>
      <c r="H350" s="28" t="n"/>
      <c r="I350" s="28" t="n"/>
      <c r="J350" s="28" t="n"/>
      <c r="K350" s="24">
        <f>IF(D350="","",IFERROR(INDEX(Setup!$B$24:$B$59,MATCH(D350,Setup!$A$24:$A$59,0)),"Check category"))</f>
        <v/>
      </c>
      <c r="L350" s="25">
        <f>IF(A350="","",DATE(YEAR(A350),MONTH(A350),1))</f>
        <v/>
      </c>
      <c r="M350" s="26">
        <f>IF(AND(E350="",F350=""),"",N(E350)-N(F350))</f>
        <v/>
      </c>
      <c r="N350" s="28" t="n"/>
    </row>
    <row r="351">
      <c r="A351" s="27" t="n"/>
      <c r="B351" s="28" t="n"/>
      <c r="C351" s="28" t="n"/>
      <c r="D351" s="28" t="n"/>
      <c r="E351" s="29" t="n"/>
      <c r="F351" s="29" t="n"/>
      <c r="G351" s="28" t="n"/>
      <c r="H351" s="28" t="n"/>
      <c r="I351" s="28" t="n"/>
      <c r="J351" s="28" t="n"/>
      <c r="K351" s="24">
        <f>IF(D351="","",IFERROR(INDEX(Setup!$B$24:$B$59,MATCH(D351,Setup!$A$24:$A$59,0)),"Check category"))</f>
        <v/>
      </c>
      <c r="L351" s="25">
        <f>IF(A351="","",DATE(YEAR(A351),MONTH(A351),1))</f>
        <v/>
      </c>
      <c r="M351" s="26">
        <f>IF(AND(E351="",F351=""),"",N(E351)-N(F351))</f>
        <v/>
      </c>
      <c r="N351" s="28" t="n"/>
    </row>
    <row r="352">
      <c r="A352" s="27" t="n"/>
      <c r="B352" s="28" t="n"/>
      <c r="C352" s="28" t="n"/>
      <c r="D352" s="28" t="n"/>
      <c r="E352" s="29" t="n"/>
      <c r="F352" s="29" t="n"/>
      <c r="G352" s="28" t="n"/>
      <c r="H352" s="28" t="n"/>
      <c r="I352" s="28" t="n"/>
      <c r="J352" s="28" t="n"/>
      <c r="K352" s="24">
        <f>IF(D352="","",IFERROR(INDEX(Setup!$B$24:$B$59,MATCH(D352,Setup!$A$24:$A$59,0)),"Check category"))</f>
        <v/>
      </c>
      <c r="L352" s="25">
        <f>IF(A352="","",DATE(YEAR(A352),MONTH(A352),1))</f>
        <v/>
      </c>
      <c r="M352" s="26">
        <f>IF(AND(E352="",F352=""),"",N(E352)-N(F352))</f>
        <v/>
      </c>
      <c r="N352" s="28" t="n"/>
    </row>
    <row r="353">
      <c r="A353" s="27" t="n"/>
      <c r="B353" s="28" t="n"/>
      <c r="C353" s="28" t="n"/>
      <c r="D353" s="28" t="n"/>
      <c r="E353" s="29" t="n"/>
      <c r="F353" s="29" t="n"/>
      <c r="G353" s="28" t="n"/>
      <c r="H353" s="28" t="n"/>
      <c r="I353" s="28" t="n"/>
      <c r="J353" s="28" t="n"/>
      <c r="K353" s="24">
        <f>IF(D353="","",IFERROR(INDEX(Setup!$B$24:$B$59,MATCH(D353,Setup!$A$24:$A$59,0)),"Check category"))</f>
        <v/>
      </c>
      <c r="L353" s="25">
        <f>IF(A353="","",DATE(YEAR(A353),MONTH(A353),1))</f>
        <v/>
      </c>
      <c r="M353" s="26">
        <f>IF(AND(E353="",F353=""),"",N(E353)-N(F353))</f>
        <v/>
      </c>
      <c r="N353" s="28" t="n"/>
    </row>
    <row r="354">
      <c r="A354" s="27" t="n"/>
      <c r="B354" s="28" t="n"/>
      <c r="C354" s="28" t="n"/>
      <c r="D354" s="28" t="n"/>
      <c r="E354" s="29" t="n"/>
      <c r="F354" s="29" t="n"/>
      <c r="G354" s="28" t="n"/>
      <c r="H354" s="28" t="n"/>
      <c r="I354" s="28" t="n"/>
      <c r="J354" s="28" t="n"/>
      <c r="K354" s="24">
        <f>IF(D354="","",IFERROR(INDEX(Setup!$B$24:$B$59,MATCH(D354,Setup!$A$24:$A$59,0)),"Check category"))</f>
        <v/>
      </c>
      <c r="L354" s="25">
        <f>IF(A354="","",DATE(YEAR(A354),MONTH(A354),1))</f>
        <v/>
      </c>
      <c r="M354" s="26">
        <f>IF(AND(E354="",F354=""),"",N(E354)-N(F354))</f>
        <v/>
      </c>
      <c r="N354" s="28" t="n"/>
    </row>
    <row r="355">
      <c r="A355" s="27" t="n"/>
      <c r="B355" s="28" t="n"/>
      <c r="C355" s="28" t="n"/>
      <c r="D355" s="28" t="n"/>
      <c r="E355" s="29" t="n"/>
      <c r="F355" s="29" t="n"/>
      <c r="G355" s="28" t="n"/>
      <c r="H355" s="28" t="n"/>
      <c r="I355" s="28" t="n"/>
      <c r="J355" s="28" t="n"/>
      <c r="K355" s="24">
        <f>IF(D355="","",IFERROR(INDEX(Setup!$B$24:$B$59,MATCH(D355,Setup!$A$24:$A$59,0)),"Check category"))</f>
        <v/>
      </c>
      <c r="L355" s="25">
        <f>IF(A355="","",DATE(YEAR(A355),MONTH(A355),1))</f>
        <v/>
      </c>
      <c r="M355" s="26">
        <f>IF(AND(E355="",F355=""),"",N(E355)-N(F355))</f>
        <v/>
      </c>
      <c r="N355" s="28" t="n"/>
    </row>
    <row r="356">
      <c r="A356" s="27" t="n"/>
      <c r="B356" s="28" t="n"/>
      <c r="C356" s="28" t="n"/>
      <c r="D356" s="28" t="n"/>
      <c r="E356" s="29" t="n"/>
      <c r="F356" s="29" t="n"/>
      <c r="G356" s="28" t="n"/>
      <c r="H356" s="28" t="n"/>
      <c r="I356" s="28" t="n"/>
      <c r="J356" s="28" t="n"/>
      <c r="K356" s="24">
        <f>IF(D356="","",IFERROR(INDEX(Setup!$B$24:$B$59,MATCH(D356,Setup!$A$24:$A$59,0)),"Check category"))</f>
        <v/>
      </c>
      <c r="L356" s="25">
        <f>IF(A356="","",DATE(YEAR(A356),MONTH(A356),1))</f>
        <v/>
      </c>
      <c r="M356" s="26">
        <f>IF(AND(E356="",F356=""),"",N(E356)-N(F356))</f>
        <v/>
      </c>
      <c r="N356" s="28" t="n"/>
    </row>
    <row r="357">
      <c r="A357" s="27" t="n"/>
      <c r="B357" s="28" t="n"/>
      <c r="C357" s="28" t="n"/>
      <c r="D357" s="28" t="n"/>
      <c r="E357" s="29" t="n"/>
      <c r="F357" s="29" t="n"/>
      <c r="G357" s="28" t="n"/>
      <c r="H357" s="28" t="n"/>
      <c r="I357" s="28" t="n"/>
      <c r="J357" s="28" t="n"/>
      <c r="K357" s="24">
        <f>IF(D357="","",IFERROR(INDEX(Setup!$B$24:$B$59,MATCH(D357,Setup!$A$24:$A$59,0)),"Check category"))</f>
        <v/>
      </c>
      <c r="L357" s="25">
        <f>IF(A357="","",DATE(YEAR(A357),MONTH(A357),1))</f>
        <v/>
      </c>
      <c r="M357" s="26">
        <f>IF(AND(E357="",F357=""),"",N(E357)-N(F357))</f>
        <v/>
      </c>
      <c r="N357" s="28" t="n"/>
    </row>
    <row r="358">
      <c r="A358" s="27" t="n"/>
      <c r="B358" s="28" t="n"/>
      <c r="C358" s="28" t="n"/>
      <c r="D358" s="28" t="n"/>
      <c r="E358" s="29" t="n"/>
      <c r="F358" s="29" t="n"/>
      <c r="G358" s="28" t="n"/>
      <c r="H358" s="28" t="n"/>
      <c r="I358" s="28" t="n"/>
      <c r="J358" s="28" t="n"/>
      <c r="K358" s="24">
        <f>IF(D358="","",IFERROR(INDEX(Setup!$B$24:$B$59,MATCH(D358,Setup!$A$24:$A$59,0)),"Check category"))</f>
        <v/>
      </c>
      <c r="L358" s="25">
        <f>IF(A358="","",DATE(YEAR(A358),MONTH(A358),1))</f>
        <v/>
      </c>
      <c r="M358" s="26">
        <f>IF(AND(E358="",F358=""),"",N(E358)-N(F358))</f>
        <v/>
      </c>
      <c r="N358" s="28" t="n"/>
    </row>
    <row r="359">
      <c r="A359" s="27" t="n"/>
      <c r="B359" s="28" t="n"/>
      <c r="C359" s="28" t="n"/>
      <c r="D359" s="28" t="n"/>
      <c r="E359" s="29" t="n"/>
      <c r="F359" s="29" t="n"/>
      <c r="G359" s="28" t="n"/>
      <c r="H359" s="28" t="n"/>
      <c r="I359" s="28" t="n"/>
      <c r="J359" s="28" t="n"/>
      <c r="K359" s="24">
        <f>IF(D359="","",IFERROR(INDEX(Setup!$B$24:$B$59,MATCH(D359,Setup!$A$24:$A$59,0)),"Check category"))</f>
        <v/>
      </c>
      <c r="L359" s="25">
        <f>IF(A359="","",DATE(YEAR(A359),MONTH(A359),1))</f>
        <v/>
      </c>
      <c r="M359" s="26">
        <f>IF(AND(E359="",F359=""),"",N(E359)-N(F359))</f>
        <v/>
      </c>
      <c r="N359" s="28" t="n"/>
    </row>
    <row r="360">
      <c r="A360" s="27" t="n"/>
      <c r="B360" s="28" t="n"/>
      <c r="C360" s="28" t="n"/>
      <c r="D360" s="28" t="n"/>
      <c r="E360" s="29" t="n"/>
      <c r="F360" s="29" t="n"/>
      <c r="G360" s="28" t="n"/>
      <c r="H360" s="28" t="n"/>
      <c r="I360" s="28" t="n"/>
      <c r="J360" s="28" t="n"/>
      <c r="K360" s="24">
        <f>IF(D360="","",IFERROR(INDEX(Setup!$B$24:$B$59,MATCH(D360,Setup!$A$24:$A$59,0)),"Check category"))</f>
        <v/>
      </c>
      <c r="L360" s="25">
        <f>IF(A360="","",DATE(YEAR(A360),MONTH(A360),1))</f>
        <v/>
      </c>
      <c r="M360" s="26">
        <f>IF(AND(E360="",F360=""),"",N(E360)-N(F360))</f>
        <v/>
      </c>
      <c r="N360" s="28" t="n"/>
    </row>
    <row r="361">
      <c r="A361" s="27" t="n"/>
      <c r="B361" s="28" t="n"/>
      <c r="C361" s="28" t="n"/>
      <c r="D361" s="28" t="n"/>
      <c r="E361" s="29" t="n"/>
      <c r="F361" s="29" t="n"/>
      <c r="G361" s="28" t="n"/>
      <c r="H361" s="28" t="n"/>
      <c r="I361" s="28" t="n"/>
      <c r="J361" s="28" t="n"/>
      <c r="K361" s="24">
        <f>IF(D361="","",IFERROR(INDEX(Setup!$B$24:$B$59,MATCH(D361,Setup!$A$24:$A$59,0)),"Check category"))</f>
        <v/>
      </c>
      <c r="L361" s="25">
        <f>IF(A361="","",DATE(YEAR(A361),MONTH(A361),1))</f>
        <v/>
      </c>
      <c r="M361" s="26">
        <f>IF(AND(E361="",F361=""),"",N(E361)-N(F361))</f>
        <v/>
      </c>
      <c r="N361" s="28" t="n"/>
    </row>
    <row r="362">
      <c r="A362" s="27" t="n"/>
      <c r="B362" s="28" t="n"/>
      <c r="C362" s="28" t="n"/>
      <c r="D362" s="28" t="n"/>
      <c r="E362" s="29" t="n"/>
      <c r="F362" s="29" t="n"/>
      <c r="G362" s="28" t="n"/>
      <c r="H362" s="28" t="n"/>
      <c r="I362" s="28" t="n"/>
      <c r="J362" s="28" t="n"/>
      <c r="K362" s="24">
        <f>IF(D362="","",IFERROR(INDEX(Setup!$B$24:$B$59,MATCH(D362,Setup!$A$24:$A$59,0)),"Check category"))</f>
        <v/>
      </c>
      <c r="L362" s="25">
        <f>IF(A362="","",DATE(YEAR(A362),MONTH(A362),1))</f>
        <v/>
      </c>
      <c r="M362" s="26">
        <f>IF(AND(E362="",F362=""),"",N(E362)-N(F362))</f>
        <v/>
      </c>
      <c r="N362" s="28" t="n"/>
    </row>
    <row r="363">
      <c r="A363" s="27" t="n"/>
      <c r="B363" s="28" t="n"/>
      <c r="C363" s="28" t="n"/>
      <c r="D363" s="28" t="n"/>
      <c r="E363" s="29" t="n"/>
      <c r="F363" s="29" t="n"/>
      <c r="G363" s="28" t="n"/>
      <c r="H363" s="28" t="n"/>
      <c r="I363" s="28" t="n"/>
      <c r="J363" s="28" t="n"/>
      <c r="K363" s="24">
        <f>IF(D363="","",IFERROR(INDEX(Setup!$B$24:$B$59,MATCH(D363,Setup!$A$24:$A$59,0)),"Check category"))</f>
        <v/>
      </c>
      <c r="L363" s="25">
        <f>IF(A363="","",DATE(YEAR(A363),MONTH(A363),1))</f>
        <v/>
      </c>
      <c r="M363" s="26">
        <f>IF(AND(E363="",F363=""),"",N(E363)-N(F363))</f>
        <v/>
      </c>
      <c r="N363" s="28" t="n"/>
    </row>
    <row r="364">
      <c r="A364" s="27" t="n"/>
      <c r="B364" s="28" t="n"/>
      <c r="C364" s="28" t="n"/>
      <c r="D364" s="28" t="n"/>
      <c r="E364" s="29" t="n"/>
      <c r="F364" s="29" t="n"/>
      <c r="G364" s="28" t="n"/>
      <c r="H364" s="28" t="n"/>
      <c r="I364" s="28" t="n"/>
      <c r="J364" s="28" t="n"/>
      <c r="K364" s="24">
        <f>IF(D364="","",IFERROR(INDEX(Setup!$B$24:$B$59,MATCH(D364,Setup!$A$24:$A$59,0)),"Check category"))</f>
        <v/>
      </c>
      <c r="L364" s="25">
        <f>IF(A364="","",DATE(YEAR(A364),MONTH(A364),1))</f>
        <v/>
      </c>
      <c r="M364" s="26">
        <f>IF(AND(E364="",F364=""),"",N(E364)-N(F364))</f>
        <v/>
      </c>
      <c r="N364" s="28" t="n"/>
    </row>
    <row r="365">
      <c r="A365" s="27" t="n"/>
      <c r="B365" s="28" t="n"/>
      <c r="C365" s="28" t="n"/>
      <c r="D365" s="28" t="n"/>
      <c r="E365" s="29" t="n"/>
      <c r="F365" s="29" t="n"/>
      <c r="G365" s="28" t="n"/>
      <c r="H365" s="28" t="n"/>
      <c r="I365" s="28" t="n"/>
      <c r="J365" s="28" t="n"/>
      <c r="K365" s="24">
        <f>IF(D365="","",IFERROR(INDEX(Setup!$B$24:$B$59,MATCH(D365,Setup!$A$24:$A$59,0)),"Check category"))</f>
        <v/>
      </c>
      <c r="L365" s="25">
        <f>IF(A365="","",DATE(YEAR(A365),MONTH(A365),1))</f>
        <v/>
      </c>
      <c r="M365" s="26">
        <f>IF(AND(E365="",F365=""),"",N(E365)-N(F365))</f>
        <v/>
      </c>
      <c r="N365" s="28" t="n"/>
    </row>
    <row r="366">
      <c r="A366" s="27" t="n"/>
      <c r="B366" s="28" t="n"/>
      <c r="C366" s="28" t="n"/>
      <c r="D366" s="28" t="n"/>
      <c r="E366" s="29" t="n"/>
      <c r="F366" s="29" t="n"/>
      <c r="G366" s="28" t="n"/>
      <c r="H366" s="28" t="n"/>
      <c r="I366" s="28" t="n"/>
      <c r="J366" s="28" t="n"/>
      <c r="K366" s="24">
        <f>IF(D366="","",IFERROR(INDEX(Setup!$B$24:$B$59,MATCH(D366,Setup!$A$24:$A$59,0)),"Check category"))</f>
        <v/>
      </c>
      <c r="L366" s="25">
        <f>IF(A366="","",DATE(YEAR(A366),MONTH(A366),1))</f>
        <v/>
      </c>
      <c r="M366" s="26">
        <f>IF(AND(E366="",F366=""),"",N(E366)-N(F366))</f>
        <v/>
      </c>
      <c r="N366" s="28" t="n"/>
    </row>
    <row r="367">
      <c r="A367" s="27" t="n"/>
      <c r="B367" s="28" t="n"/>
      <c r="C367" s="28" t="n"/>
      <c r="D367" s="28" t="n"/>
      <c r="E367" s="29" t="n"/>
      <c r="F367" s="29" t="n"/>
      <c r="G367" s="28" t="n"/>
      <c r="H367" s="28" t="n"/>
      <c r="I367" s="28" t="n"/>
      <c r="J367" s="28" t="n"/>
      <c r="K367" s="24">
        <f>IF(D367="","",IFERROR(INDEX(Setup!$B$24:$B$59,MATCH(D367,Setup!$A$24:$A$59,0)),"Check category"))</f>
        <v/>
      </c>
      <c r="L367" s="25">
        <f>IF(A367="","",DATE(YEAR(A367),MONTH(A367),1))</f>
        <v/>
      </c>
      <c r="M367" s="26">
        <f>IF(AND(E367="",F367=""),"",N(E367)-N(F367))</f>
        <v/>
      </c>
      <c r="N367" s="28" t="n"/>
    </row>
    <row r="368">
      <c r="A368" s="27" t="n"/>
      <c r="B368" s="28" t="n"/>
      <c r="C368" s="28" t="n"/>
      <c r="D368" s="28" t="n"/>
      <c r="E368" s="29" t="n"/>
      <c r="F368" s="29" t="n"/>
      <c r="G368" s="28" t="n"/>
      <c r="H368" s="28" t="n"/>
      <c r="I368" s="28" t="n"/>
      <c r="J368" s="28" t="n"/>
      <c r="K368" s="24">
        <f>IF(D368="","",IFERROR(INDEX(Setup!$B$24:$B$59,MATCH(D368,Setup!$A$24:$A$59,0)),"Check category"))</f>
        <v/>
      </c>
      <c r="L368" s="25">
        <f>IF(A368="","",DATE(YEAR(A368),MONTH(A368),1))</f>
        <v/>
      </c>
      <c r="M368" s="26">
        <f>IF(AND(E368="",F368=""),"",N(E368)-N(F368))</f>
        <v/>
      </c>
      <c r="N368" s="28" t="n"/>
    </row>
    <row r="369">
      <c r="A369" s="27" t="n"/>
      <c r="B369" s="28" t="n"/>
      <c r="C369" s="28" t="n"/>
      <c r="D369" s="28" t="n"/>
      <c r="E369" s="29" t="n"/>
      <c r="F369" s="29" t="n"/>
      <c r="G369" s="28" t="n"/>
      <c r="H369" s="28" t="n"/>
      <c r="I369" s="28" t="n"/>
      <c r="J369" s="28" t="n"/>
      <c r="K369" s="24">
        <f>IF(D369="","",IFERROR(INDEX(Setup!$B$24:$B$59,MATCH(D369,Setup!$A$24:$A$59,0)),"Check category"))</f>
        <v/>
      </c>
      <c r="L369" s="25">
        <f>IF(A369="","",DATE(YEAR(A369),MONTH(A369),1))</f>
        <v/>
      </c>
      <c r="M369" s="26">
        <f>IF(AND(E369="",F369=""),"",N(E369)-N(F369))</f>
        <v/>
      </c>
      <c r="N369" s="28" t="n"/>
    </row>
    <row r="370">
      <c r="A370" s="27" t="n"/>
      <c r="B370" s="28" t="n"/>
      <c r="C370" s="28" t="n"/>
      <c r="D370" s="28" t="n"/>
      <c r="E370" s="29" t="n"/>
      <c r="F370" s="29" t="n"/>
      <c r="G370" s="28" t="n"/>
      <c r="H370" s="28" t="n"/>
      <c r="I370" s="28" t="n"/>
      <c r="J370" s="28" t="n"/>
      <c r="K370" s="24">
        <f>IF(D370="","",IFERROR(INDEX(Setup!$B$24:$B$59,MATCH(D370,Setup!$A$24:$A$59,0)),"Check category"))</f>
        <v/>
      </c>
      <c r="L370" s="25">
        <f>IF(A370="","",DATE(YEAR(A370),MONTH(A370),1))</f>
        <v/>
      </c>
      <c r="M370" s="26">
        <f>IF(AND(E370="",F370=""),"",N(E370)-N(F370))</f>
        <v/>
      </c>
      <c r="N370" s="28" t="n"/>
    </row>
    <row r="371">
      <c r="A371" s="27" t="n"/>
      <c r="B371" s="28" t="n"/>
      <c r="C371" s="28" t="n"/>
      <c r="D371" s="28" t="n"/>
      <c r="E371" s="29" t="n"/>
      <c r="F371" s="29" t="n"/>
      <c r="G371" s="28" t="n"/>
      <c r="H371" s="28" t="n"/>
      <c r="I371" s="28" t="n"/>
      <c r="J371" s="28" t="n"/>
      <c r="K371" s="24">
        <f>IF(D371="","",IFERROR(INDEX(Setup!$B$24:$B$59,MATCH(D371,Setup!$A$24:$A$59,0)),"Check category"))</f>
        <v/>
      </c>
      <c r="L371" s="25">
        <f>IF(A371="","",DATE(YEAR(A371),MONTH(A371),1))</f>
        <v/>
      </c>
      <c r="M371" s="26">
        <f>IF(AND(E371="",F371=""),"",N(E371)-N(F371))</f>
        <v/>
      </c>
      <c r="N371" s="28" t="n"/>
    </row>
    <row r="372">
      <c r="A372" s="27" t="n"/>
      <c r="B372" s="28" t="n"/>
      <c r="C372" s="28" t="n"/>
      <c r="D372" s="28" t="n"/>
      <c r="E372" s="29" t="n"/>
      <c r="F372" s="29" t="n"/>
      <c r="G372" s="28" t="n"/>
      <c r="H372" s="28" t="n"/>
      <c r="I372" s="28" t="n"/>
      <c r="J372" s="28" t="n"/>
      <c r="K372" s="24">
        <f>IF(D372="","",IFERROR(INDEX(Setup!$B$24:$B$59,MATCH(D372,Setup!$A$24:$A$59,0)),"Check category"))</f>
        <v/>
      </c>
      <c r="L372" s="25">
        <f>IF(A372="","",DATE(YEAR(A372),MONTH(A372),1))</f>
        <v/>
      </c>
      <c r="M372" s="26">
        <f>IF(AND(E372="",F372=""),"",N(E372)-N(F372))</f>
        <v/>
      </c>
      <c r="N372" s="28" t="n"/>
    </row>
    <row r="373">
      <c r="A373" s="27" t="n"/>
      <c r="B373" s="28" t="n"/>
      <c r="C373" s="28" t="n"/>
      <c r="D373" s="28" t="n"/>
      <c r="E373" s="29" t="n"/>
      <c r="F373" s="29" t="n"/>
      <c r="G373" s="28" t="n"/>
      <c r="H373" s="28" t="n"/>
      <c r="I373" s="28" t="n"/>
      <c r="J373" s="28" t="n"/>
      <c r="K373" s="24">
        <f>IF(D373="","",IFERROR(INDEX(Setup!$B$24:$B$59,MATCH(D373,Setup!$A$24:$A$59,0)),"Check category"))</f>
        <v/>
      </c>
      <c r="L373" s="25">
        <f>IF(A373="","",DATE(YEAR(A373),MONTH(A373),1))</f>
        <v/>
      </c>
      <c r="M373" s="26">
        <f>IF(AND(E373="",F373=""),"",N(E373)-N(F373))</f>
        <v/>
      </c>
      <c r="N373" s="28" t="n"/>
    </row>
    <row r="374">
      <c r="A374" s="27" t="n"/>
      <c r="B374" s="28" t="n"/>
      <c r="C374" s="28" t="n"/>
      <c r="D374" s="28" t="n"/>
      <c r="E374" s="29" t="n"/>
      <c r="F374" s="29" t="n"/>
      <c r="G374" s="28" t="n"/>
      <c r="H374" s="28" t="n"/>
      <c r="I374" s="28" t="n"/>
      <c r="J374" s="28" t="n"/>
      <c r="K374" s="24">
        <f>IF(D374="","",IFERROR(INDEX(Setup!$B$24:$B$59,MATCH(D374,Setup!$A$24:$A$59,0)),"Check category"))</f>
        <v/>
      </c>
      <c r="L374" s="25">
        <f>IF(A374="","",DATE(YEAR(A374),MONTH(A374),1))</f>
        <v/>
      </c>
      <c r="M374" s="26">
        <f>IF(AND(E374="",F374=""),"",N(E374)-N(F374))</f>
        <v/>
      </c>
      <c r="N374" s="28" t="n"/>
    </row>
    <row r="375">
      <c r="A375" s="27" t="n"/>
      <c r="B375" s="28" t="n"/>
      <c r="C375" s="28" t="n"/>
      <c r="D375" s="28" t="n"/>
      <c r="E375" s="29" t="n"/>
      <c r="F375" s="29" t="n"/>
      <c r="G375" s="28" t="n"/>
      <c r="H375" s="28" t="n"/>
      <c r="I375" s="28" t="n"/>
      <c r="J375" s="28" t="n"/>
      <c r="K375" s="24">
        <f>IF(D375="","",IFERROR(INDEX(Setup!$B$24:$B$59,MATCH(D375,Setup!$A$24:$A$59,0)),"Check category"))</f>
        <v/>
      </c>
      <c r="L375" s="25">
        <f>IF(A375="","",DATE(YEAR(A375),MONTH(A375),1))</f>
        <v/>
      </c>
      <c r="M375" s="26">
        <f>IF(AND(E375="",F375=""),"",N(E375)-N(F375))</f>
        <v/>
      </c>
      <c r="N375" s="28" t="n"/>
    </row>
    <row r="376">
      <c r="A376" s="27" t="n"/>
      <c r="B376" s="28" t="n"/>
      <c r="C376" s="28" t="n"/>
      <c r="D376" s="28" t="n"/>
      <c r="E376" s="29" t="n"/>
      <c r="F376" s="29" t="n"/>
      <c r="G376" s="28" t="n"/>
      <c r="H376" s="28" t="n"/>
      <c r="I376" s="28" t="n"/>
      <c r="J376" s="28" t="n"/>
      <c r="K376" s="24">
        <f>IF(D376="","",IFERROR(INDEX(Setup!$B$24:$B$59,MATCH(D376,Setup!$A$24:$A$59,0)),"Check category"))</f>
        <v/>
      </c>
      <c r="L376" s="25">
        <f>IF(A376="","",DATE(YEAR(A376),MONTH(A376),1))</f>
        <v/>
      </c>
      <c r="M376" s="26">
        <f>IF(AND(E376="",F376=""),"",N(E376)-N(F376))</f>
        <v/>
      </c>
      <c r="N376" s="28" t="n"/>
    </row>
    <row r="377">
      <c r="A377" s="27" t="n"/>
      <c r="B377" s="28" t="n"/>
      <c r="C377" s="28" t="n"/>
      <c r="D377" s="28" t="n"/>
      <c r="E377" s="29" t="n"/>
      <c r="F377" s="29" t="n"/>
      <c r="G377" s="28" t="n"/>
      <c r="H377" s="28" t="n"/>
      <c r="I377" s="28" t="n"/>
      <c r="J377" s="28" t="n"/>
      <c r="K377" s="24">
        <f>IF(D377="","",IFERROR(INDEX(Setup!$B$24:$B$59,MATCH(D377,Setup!$A$24:$A$59,0)),"Check category"))</f>
        <v/>
      </c>
      <c r="L377" s="25">
        <f>IF(A377="","",DATE(YEAR(A377),MONTH(A377),1))</f>
        <v/>
      </c>
      <c r="M377" s="26">
        <f>IF(AND(E377="",F377=""),"",N(E377)-N(F377))</f>
        <v/>
      </c>
      <c r="N377" s="28" t="n"/>
    </row>
    <row r="378">
      <c r="A378" s="27" t="n"/>
      <c r="B378" s="28" t="n"/>
      <c r="C378" s="28" t="n"/>
      <c r="D378" s="28" t="n"/>
      <c r="E378" s="29" t="n"/>
      <c r="F378" s="29" t="n"/>
      <c r="G378" s="28" t="n"/>
      <c r="H378" s="28" t="n"/>
      <c r="I378" s="28" t="n"/>
      <c r="J378" s="28" t="n"/>
      <c r="K378" s="24">
        <f>IF(D378="","",IFERROR(INDEX(Setup!$B$24:$B$59,MATCH(D378,Setup!$A$24:$A$59,0)),"Check category"))</f>
        <v/>
      </c>
      <c r="L378" s="25">
        <f>IF(A378="","",DATE(YEAR(A378),MONTH(A378),1))</f>
        <v/>
      </c>
      <c r="M378" s="26">
        <f>IF(AND(E378="",F378=""),"",N(E378)-N(F378))</f>
        <v/>
      </c>
      <c r="N378" s="28" t="n"/>
    </row>
    <row r="379">
      <c r="A379" s="27" t="n"/>
      <c r="B379" s="28" t="n"/>
      <c r="C379" s="28" t="n"/>
      <c r="D379" s="28" t="n"/>
      <c r="E379" s="29" t="n"/>
      <c r="F379" s="29" t="n"/>
      <c r="G379" s="28" t="n"/>
      <c r="H379" s="28" t="n"/>
      <c r="I379" s="28" t="n"/>
      <c r="J379" s="28" t="n"/>
      <c r="K379" s="24">
        <f>IF(D379="","",IFERROR(INDEX(Setup!$B$24:$B$59,MATCH(D379,Setup!$A$24:$A$59,0)),"Check category"))</f>
        <v/>
      </c>
      <c r="L379" s="25">
        <f>IF(A379="","",DATE(YEAR(A379),MONTH(A379),1))</f>
        <v/>
      </c>
      <c r="M379" s="26">
        <f>IF(AND(E379="",F379=""),"",N(E379)-N(F379))</f>
        <v/>
      </c>
      <c r="N379" s="28" t="n"/>
    </row>
    <row r="380">
      <c r="A380" s="27" t="n"/>
      <c r="B380" s="28" t="n"/>
      <c r="C380" s="28" t="n"/>
      <c r="D380" s="28" t="n"/>
      <c r="E380" s="29" t="n"/>
      <c r="F380" s="29" t="n"/>
      <c r="G380" s="28" t="n"/>
      <c r="H380" s="28" t="n"/>
      <c r="I380" s="28" t="n"/>
      <c r="J380" s="28" t="n"/>
      <c r="K380" s="24">
        <f>IF(D380="","",IFERROR(INDEX(Setup!$B$24:$B$59,MATCH(D380,Setup!$A$24:$A$59,0)),"Check category"))</f>
        <v/>
      </c>
      <c r="L380" s="25">
        <f>IF(A380="","",DATE(YEAR(A380),MONTH(A380),1))</f>
        <v/>
      </c>
      <c r="M380" s="26">
        <f>IF(AND(E380="",F380=""),"",N(E380)-N(F380))</f>
        <v/>
      </c>
      <c r="N380" s="28" t="n"/>
    </row>
    <row r="381">
      <c r="A381" s="27" t="n"/>
      <c r="B381" s="28" t="n"/>
      <c r="C381" s="28" t="n"/>
      <c r="D381" s="28" t="n"/>
      <c r="E381" s="29" t="n"/>
      <c r="F381" s="29" t="n"/>
      <c r="G381" s="28" t="n"/>
      <c r="H381" s="28" t="n"/>
      <c r="I381" s="28" t="n"/>
      <c r="J381" s="28" t="n"/>
      <c r="K381" s="24">
        <f>IF(D381="","",IFERROR(INDEX(Setup!$B$24:$B$59,MATCH(D381,Setup!$A$24:$A$59,0)),"Check category"))</f>
        <v/>
      </c>
      <c r="L381" s="25">
        <f>IF(A381="","",DATE(YEAR(A381),MONTH(A381),1))</f>
        <v/>
      </c>
      <c r="M381" s="26">
        <f>IF(AND(E381="",F381=""),"",N(E381)-N(F381))</f>
        <v/>
      </c>
      <c r="N381" s="28" t="n"/>
    </row>
    <row r="382">
      <c r="A382" s="27" t="n"/>
      <c r="B382" s="28" t="n"/>
      <c r="C382" s="28" t="n"/>
      <c r="D382" s="28" t="n"/>
      <c r="E382" s="29" t="n"/>
      <c r="F382" s="29" t="n"/>
      <c r="G382" s="28" t="n"/>
      <c r="H382" s="28" t="n"/>
      <c r="I382" s="28" t="n"/>
      <c r="J382" s="28" t="n"/>
      <c r="K382" s="24">
        <f>IF(D382="","",IFERROR(INDEX(Setup!$B$24:$B$59,MATCH(D382,Setup!$A$24:$A$59,0)),"Check category"))</f>
        <v/>
      </c>
      <c r="L382" s="25">
        <f>IF(A382="","",DATE(YEAR(A382),MONTH(A382),1))</f>
        <v/>
      </c>
      <c r="M382" s="26">
        <f>IF(AND(E382="",F382=""),"",N(E382)-N(F382))</f>
        <v/>
      </c>
      <c r="N382" s="28" t="n"/>
    </row>
    <row r="383">
      <c r="A383" s="27" t="n"/>
      <c r="B383" s="28" t="n"/>
      <c r="C383" s="28" t="n"/>
      <c r="D383" s="28" t="n"/>
      <c r="E383" s="29" t="n"/>
      <c r="F383" s="29" t="n"/>
      <c r="G383" s="28" t="n"/>
      <c r="H383" s="28" t="n"/>
      <c r="I383" s="28" t="n"/>
      <c r="J383" s="28" t="n"/>
      <c r="K383" s="24">
        <f>IF(D383="","",IFERROR(INDEX(Setup!$B$24:$B$59,MATCH(D383,Setup!$A$24:$A$59,0)),"Check category"))</f>
        <v/>
      </c>
      <c r="L383" s="25">
        <f>IF(A383="","",DATE(YEAR(A383),MONTH(A383),1))</f>
        <v/>
      </c>
      <c r="M383" s="26">
        <f>IF(AND(E383="",F383=""),"",N(E383)-N(F383))</f>
        <v/>
      </c>
      <c r="N383" s="28" t="n"/>
    </row>
    <row r="384">
      <c r="A384" s="27" t="n"/>
      <c r="B384" s="28" t="n"/>
      <c r="C384" s="28" t="n"/>
      <c r="D384" s="28" t="n"/>
      <c r="E384" s="29" t="n"/>
      <c r="F384" s="29" t="n"/>
      <c r="G384" s="28" t="n"/>
      <c r="H384" s="28" t="n"/>
      <c r="I384" s="28" t="n"/>
      <c r="J384" s="28" t="n"/>
      <c r="K384" s="24">
        <f>IF(D384="","",IFERROR(INDEX(Setup!$B$24:$B$59,MATCH(D384,Setup!$A$24:$A$59,0)),"Check category"))</f>
        <v/>
      </c>
      <c r="L384" s="25">
        <f>IF(A384="","",DATE(YEAR(A384),MONTH(A384),1))</f>
        <v/>
      </c>
      <c r="M384" s="26">
        <f>IF(AND(E384="",F384=""),"",N(E384)-N(F384))</f>
        <v/>
      </c>
      <c r="N384" s="28" t="n"/>
    </row>
    <row r="385">
      <c r="A385" s="27" t="n"/>
      <c r="B385" s="28" t="n"/>
      <c r="C385" s="28" t="n"/>
      <c r="D385" s="28" t="n"/>
      <c r="E385" s="29" t="n"/>
      <c r="F385" s="29" t="n"/>
      <c r="G385" s="28" t="n"/>
      <c r="H385" s="28" t="n"/>
      <c r="I385" s="28" t="n"/>
      <c r="J385" s="28" t="n"/>
      <c r="K385" s="24">
        <f>IF(D385="","",IFERROR(INDEX(Setup!$B$24:$B$59,MATCH(D385,Setup!$A$24:$A$59,0)),"Check category"))</f>
        <v/>
      </c>
      <c r="L385" s="25">
        <f>IF(A385="","",DATE(YEAR(A385),MONTH(A385),1))</f>
        <v/>
      </c>
      <c r="M385" s="26">
        <f>IF(AND(E385="",F385=""),"",N(E385)-N(F385))</f>
        <v/>
      </c>
      <c r="N385" s="28" t="n"/>
    </row>
    <row r="386">
      <c r="A386" s="27" t="n"/>
      <c r="B386" s="28" t="n"/>
      <c r="C386" s="28" t="n"/>
      <c r="D386" s="28" t="n"/>
      <c r="E386" s="29" t="n"/>
      <c r="F386" s="29" t="n"/>
      <c r="G386" s="28" t="n"/>
      <c r="H386" s="28" t="n"/>
      <c r="I386" s="28" t="n"/>
      <c r="J386" s="28" t="n"/>
      <c r="K386" s="24">
        <f>IF(D386="","",IFERROR(INDEX(Setup!$B$24:$B$59,MATCH(D386,Setup!$A$24:$A$59,0)),"Check category"))</f>
        <v/>
      </c>
      <c r="L386" s="25">
        <f>IF(A386="","",DATE(YEAR(A386),MONTH(A386),1))</f>
        <v/>
      </c>
      <c r="M386" s="26">
        <f>IF(AND(E386="",F386=""),"",N(E386)-N(F386))</f>
        <v/>
      </c>
      <c r="N386" s="28" t="n"/>
    </row>
    <row r="387">
      <c r="A387" s="27" t="n"/>
      <c r="B387" s="28" t="n"/>
      <c r="C387" s="28" t="n"/>
      <c r="D387" s="28" t="n"/>
      <c r="E387" s="29" t="n"/>
      <c r="F387" s="29" t="n"/>
      <c r="G387" s="28" t="n"/>
      <c r="H387" s="28" t="n"/>
      <c r="I387" s="28" t="n"/>
      <c r="J387" s="28" t="n"/>
      <c r="K387" s="24">
        <f>IF(D387="","",IFERROR(INDEX(Setup!$B$24:$B$59,MATCH(D387,Setup!$A$24:$A$59,0)),"Check category"))</f>
        <v/>
      </c>
      <c r="L387" s="25">
        <f>IF(A387="","",DATE(YEAR(A387),MONTH(A387),1))</f>
        <v/>
      </c>
      <c r="M387" s="26">
        <f>IF(AND(E387="",F387=""),"",N(E387)-N(F387))</f>
        <v/>
      </c>
      <c r="N387" s="28" t="n"/>
    </row>
    <row r="388">
      <c r="A388" s="27" t="n"/>
      <c r="B388" s="28" t="n"/>
      <c r="C388" s="28" t="n"/>
      <c r="D388" s="28" t="n"/>
      <c r="E388" s="29" t="n"/>
      <c r="F388" s="29" t="n"/>
      <c r="G388" s="28" t="n"/>
      <c r="H388" s="28" t="n"/>
      <c r="I388" s="28" t="n"/>
      <c r="J388" s="28" t="n"/>
      <c r="K388" s="24">
        <f>IF(D388="","",IFERROR(INDEX(Setup!$B$24:$B$59,MATCH(D388,Setup!$A$24:$A$59,0)),"Check category"))</f>
        <v/>
      </c>
      <c r="L388" s="25">
        <f>IF(A388="","",DATE(YEAR(A388),MONTH(A388),1))</f>
        <v/>
      </c>
      <c r="M388" s="26">
        <f>IF(AND(E388="",F388=""),"",N(E388)-N(F388))</f>
        <v/>
      </c>
      <c r="N388" s="28" t="n"/>
    </row>
    <row r="389">
      <c r="A389" s="27" t="n"/>
      <c r="B389" s="28" t="n"/>
      <c r="C389" s="28" t="n"/>
      <c r="D389" s="28" t="n"/>
      <c r="E389" s="29" t="n"/>
      <c r="F389" s="29" t="n"/>
      <c r="G389" s="28" t="n"/>
      <c r="H389" s="28" t="n"/>
      <c r="I389" s="28" t="n"/>
      <c r="J389" s="28" t="n"/>
      <c r="K389" s="24">
        <f>IF(D389="","",IFERROR(INDEX(Setup!$B$24:$B$59,MATCH(D389,Setup!$A$24:$A$59,0)),"Check category"))</f>
        <v/>
      </c>
      <c r="L389" s="25">
        <f>IF(A389="","",DATE(YEAR(A389),MONTH(A389),1))</f>
        <v/>
      </c>
      <c r="M389" s="26">
        <f>IF(AND(E389="",F389=""),"",N(E389)-N(F389))</f>
        <v/>
      </c>
      <c r="N389" s="28" t="n"/>
    </row>
    <row r="390">
      <c r="A390" s="27" t="n"/>
      <c r="B390" s="28" t="n"/>
      <c r="C390" s="28" t="n"/>
      <c r="D390" s="28" t="n"/>
      <c r="E390" s="29" t="n"/>
      <c r="F390" s="29" t="n"/>
      <c r="G390" s="28" t="n"/>
      <c r="H390" s="28" t="n"/>
      <c r="I390" s="28" t="n"/>
      <c r="J390" s="28" t="n"/>
      <c r="K390" s="24">
        <f>IF(D390="","",IFERROR(INDEX(Setup!$B$24:$B$59,MATCH(D390,Setup!$A$24:$A$59,0)),"Check category"))</f>
        <v/>
      </c>
      <c r="L390" s="25">
        <f>IF(A390="","",DATE(YEAR(A390),MONTH(A390),1))</f>
        <v/>
      </c>
      <c r="M390" s="26">
        <f>IF(AND(E390="",F390=""),"",N(E390)-N(F390))</f>
        <v/>
      </c>
      <c r="N390" s="28" t="n"/>
    </row>
    <row r="391">
      <c r="A391" s="27" t="n"/>
      <c r="B391" s="28" t="n"/>
      <c r="C391" s="28" t="n"/>
      <c r="D391" s="28" t="n"/>
      <c r="E391" s="29" t="n"/>
      <c r="F391" s="29" t="n"/>
      <c r="G391" s="28" t="n"/>
      <c r="H391" s="28" t="n"/>
      <c r="I391" s="28" t="n"/>
      <c r="J391" s="28" t="n"/>
      <c r="K391" s="24">
        <f>IF(D391="","",IFERROR(INDEX(Setup!$B$24:$B$59,MATCH(D391,Setup!$A$24:$A$59,0)),"Check category"))</f>
        <v/>
      </c>
      <c r="L391" s="25">
        <f>IF(A391="","",DATE(YEAR(A391),MONTH(A391),1))</f>
        <v/>
      </c>
      <c r="M391" s="26">
        <f>IF(AND(E391="",F391=""),"",N(E391)-N(F391))</f>
        <v/>
      </c>
      <c r="N391" s="28" t="n"/>
    </row>
    <row r="392">
      <c r="A392" s="27" t="n"/>
      <c r="B392" s="28" t="n"/>
      <c r="C392" s="28" t="n"/>
      <c r="D392" s="28" t="n"/>
      <c r="E392" s="29" t="n"/>
      <c r="F392" s="29" t="n"/>
      <c r="G392" s="28" t="n"/>
      <c r="H392" s="28" t="n"/>
      <c r="I392" s="28" t="n"/>
      <c r="J392" s="28" t="n"/>
      <c r="K392" s="24">
        <f>IF(D392="","",IFERROR(INDEX(Setup!$B$24:$B$59,MATCH(D392,Setup!$A$24:$A$59,0)),"Check category"))</f>
        <v/>
      </c>
      <c r="L392" s="25">
        <f>IF(A392="","",DATE(YEAR(A392),MONTH(A392),1))</f>
        <v/>
      </c>
      <c r="M392" s="26">
        <f>IF(AND(E392="",F392=""),"",N(E392)-N(F392))</f>
        <v/>
      </c>
      <c r="N392" s="28" t="n"/>
    </row>
    <row r="393">
      <c r="A393" s="27" t="n"/>
      <c r="B393" s="28" t="n"/>
      <c r="C393" s="28" t="n"/>
      <c r="D393" s="28" t="n"/>
      <c r="E393" s="29" t="n"/>
      <c r="F393" s="29" t="n"/>
      <c r="G393" s="28" t="n"/>
      <c r="H393" s="28" t="n"/>
      <c r="I393" s="28" t="n"/>
      <c r="J393" s="28" t="n"/>
      <c r="K393" s="24">
        <f>IF(D393="","",IFERROR(INDEX(Setup!$B$24:$B$59,MATCH(D393,Setup!$A$24:$A$59,0)),"Check category"))</f>
        <v/>
      </c>
      <c r="L393" s="25">
        <f>IF(A393="","",DATE(YEAR(A393),MONTH(A393),1))</f>
        <v/>
      </c>
      <c r="M393" s="26">
        <f>IF(AND(E393="",F393=""),"",N(E393)-N(F393))</f>
        <v/>
      </c>
      <c r="N393" s="28" t="n"/>
    </row>
    <row r="394">
      <c r="A394" s="27" t="n"/>
      <c r="B394" s="28" t="n"/>
      <c r="C394" s="28" t="n"/>
      <c r="D394" s="28" t="n"/>
      <c r="E394" s="29" t="n"/>
      <c r="F394" s="29" t="n"/>
      <c r="G394" s="28" t="n"/>
      <c r="H394" s="28" t="n"/>
      <c r="I394" s="28" t="n"/>
      <c r="J394" s="28" t="n"/>
      <c r="K394" s="24">
        <f>IF(D394="","",IFERROR(INDEX(Setup!$B$24:$B$59,MATCH(D394,Setup!$A$24:$A$59,0)),"Check category"))</f>
        <v/>
      </c>
      <c r="L394" s="25">
        <f>IF(A394="","",DATE(YEAR(A394),MONTH(A394),1))</f>
        <v/>
      </c>
      <c r="M394" s="26">
        <f>IF(AND(E394="",F394=""),"",N(E394)-N(F394))</f>
        <v/>
      </c>
      <c r="N394" s="28" t="n"/>
    </row>
    <row r="395">
      <c r="A395" s="27" t="n"/>
      <c r="B395" s="28" t="n"/>
      <c r="C395" s="28" t="n"/>
      <c r="D395" s="28" t="n"/>
      <c r="E395" s="29" t="n"/>
      <c r="F395" s="29" t="n"/>
      <c r="G395" s="28" t="n"/>
      <c r="H395" s="28" t="n"/>
      <c r="I395" s="28" t="n"/>
      <c r="J395" s="28" t="n"/>
      <c r="K395" s="24">
        <f>IF(D395="","",IFERROR(INDEX(Setup!$B$24:$B$59,MATCH(D395,Setup!$A$24:$A$59,0)),"Check category"))</f>
        <v/>
      </c>
      <c r="L395" s="25">
        <f>IF(A395="","",DATE(YEAR(A395),MONTH(A395),1))</f>
        <v/>
      </c>
      <c r="M395" s="26">
        <f>IF(AND(E395="",F395=""),"",N(E395)-N(F395))</f>
        <v/>
      </c>
      <c r="N395" s="28" t="n"/>
    </row>
    <row r="396">
      <c r="A396" s="27" t="n"/>
      <c r="B396" s="28" t="n"/>
      <c r="C396" s="28" t="n"/>
      <c r="D396" s="28" t="n"/>
      <c r="E396" s="29" t="n"/>
      <c r="F396" s="29" t="n"/>
      <c r="G396" s="28" t="n"/>
      <c r="H396" s="28" t="n"/>
      <c r="I396" s="28" t="n"/>
      <c r="J396" s="28" t="n"/>
      <c r="K396" s="24">
        <f>IF(D396="","",IFERROR(INDEX(Setup!$B$24:$B$59,MATCH(D396,Setup!$A$24:$A$59,0)),"Check category"))</f>
        <v/>
      </c>
      <c r="L396" s="25">
        <f>IF(A396="","",DATE(YEAR(A396),MONTH(A396),1))</f>
        <v/>
      </c>
      <c r="M396" s="26">
        <f>IF(AND(E396="",F396=""),"",N(E396)-N(F396))</f>
        <v/>
      </c>
      <c r="N396" s="28" t="n"/>
    </row>
    <row r="397">
      <c r="A397" s="27" t="n"/>
      <c r="B397" s="28" t="n"/>
      <c r="C397" s="28" t="n"/>
      <c r="D397" s="28" t="n"/>
      <c r="E397" s="29" t="n"/>
      <c r="F397" s="29" t="n"/>
      <c r="G397" s="28" t="n"/>
      <c r="H397" s="28" t="n"/>
      <c r="I397" s="28" t="n"/>
      <c r="J397" s="28" t="n"/>
      <c r="K397" s="24">
        <f>IF(D397="","",IFERROR(INDEX(Setup!$B$24:$B$59,MATCH(D397,Setup!$A$24:$A$59,0)),"Check category"))</f>
        <v/>
      </c>
      <c r="L397" s="25">
        <f>IF(A397="","",DATE(YEAR(A397),MONTH(A397),1))</f>
        <v/>
      </c>
      <c r="M397" s="26">
        <f>IF(AND(E397="",F397=""),"",N(E397)-N(F397))</f>
        <v/>
      </c>
      <c r="N397" s="28" t="n"/>
    </row>
    <row r="398">
      <c r="A398" s="27" t="n"/>
      <c r="B398" s="28" t="n"/>
      <c r="C398" s="28" t="n"/>
      <c r="D398" s="28" t="n"/>
      <c r="E398" s="29" t="n"/>
      <c r="F398" s="29" t="n"/>
      <c r="G398" s="28" t="n"/>
      <c r="H398" s="28" t="n"/>
      <c r="I398" s="28" t="n"/>
      <c r="J398" s="28" t="n"/>
      <c r="K398" s="24">
        <f>IF(D398="","",IFERROR(INDEX(Setup!$B$24:$B$59,MATCH(D398,Setup!$A$24:$A$59,0)),"Check category"))</f>
        <v/>
      </c>
      <c r="L398" s="25">
        <f>IF(A398="","",DATE(YEAR(A398),MONTH(A398),1))</f>
        <v/>
      </c>
      <c r="M398" s="26">
        <f>IF(AND(E398="",F398=""),"",N(E398)-N(F398))</f>
        <v/>
      </c>
      <c r="N398" s="28" t="n"/>
    </row>
    <row r="399">
      <c r="A399" s="27" t="n"/>
      <c r="B399" s="28" t="n"/>
      <c r="C399" s="28" t="n"/>
      <c r="D399" s="28" t="n"/>
      <c r="E399" s="29" t="n"/>
      <c r="F399" s="29" t="n"/>
      <c r="G399" s="28" t="n"/>
      <c r="H399" s="28" t="n"/>
      <c r="I399" s="28" t="n"/>
      <c r="J399" s="28" t="n"/>
      <c r="K399" s="24">
        <f>IF(D399="","",IFERROR(INDEX(Setup!$B$24:$B$59,MATCH(D399,Setup!$A$24:$A$59,0)),"Check category"))</f>
        <v/>
      </c>
      <c r="L399" s="25">
        <f>IF(A399="","",DATE(YEAR(A399),MONTH(A399),1))</f>
        <v/>
      </c>
      <c r="M399" s="26">
        <f>IF(AND(E399="",F399=""),"",N(E399)-N(F399))</f>
        <v/>
      </c>
      <c r="N399" s="28" t="n"/>
    </row>
    <row r="400">
      <c r="A400" s="27" t="n"/>
      <c r="B400" s="28" t="n"/>
      <c r="C400" s="28" t="n"/>
      <c r="D400" s="28" t="n"/>
      <c r="E400" s="29" t="n"/>
      <c r="F400" s="29" t="n"/>
      <c r="G400" s="28" t="n"/>
      <c r="H400" s="28" t="n"/>
      <c r="I400" s="28" t="n"/>
      <c r="J400" s="28" t="n"/>
      <c r="K400" s="24">
        <f>IF(D400="","",IFERROR(INDEX(Setup!$B$24:$B$59,MATCH(D400,Setup!$A$24:$A$59,0)),"Check category"))</f>
        <v/>
      </c>
      <c r="L400" s="25">
        <f>IF(A400="","",DATE(YEAR(A400),MONTH(A400),1))</f>
        <v/>
      </c>
      <c r="M400" s="26">
        <f>IF(AND(E400="",F400=""),"",N(E400)-N(F400))</f>
        <v/>
      </c>
      <c r="N400" s="28" t="n"/>
    </row>
    <row r="401">
      <c r="A401" s="27" t="n"/>
      <c r="B401" s="28" t="n"/>
      <c r="C401" s="28" t="n"/>
      <c r="D401" s="28" t="n"/>
      <c r="E401" s="29" t="n"/>
      <c r="F401" s="29" t="n"/>
      <c r="G401" s="28" t="n"/>
      <c r="H401" s="28" t="n"/>
      <c r="I401" s="28" t="n"/>
      <c r="J401" s="28" t="n"/>
      <c r="K401" s="24">
        <f>IF(D401="","",IFERROR(INDEX(Setup!$B$24:$B$59,MATCH(D401,Setup!$A$24:$A$59,0)),"Check category"))</f>
        <v/>
      </c>
      <c r="L401" s="25">
        <f>IF(A401="","",DATE(YEAR(A401),MONTH(A401),1))</f>
        <v/>
      </c>
      <c r="M401" s="26">
        <f>IF(AND(E401="",F401=""),"",N(E401)-N(F401))</f>
        <v/>
      </c>
      <c r="N401" s="28" t="n"/>
    </row>
    <row r="402">
      <c r="A402" s="27" t="n"/>
      <c r="B402" s="28" t="n"/>
      <c r="C402" s="28" t="n"/>
      <c r="D402" s="28" t="n"/>
      <c r="E402" s="29" t="n"/>
      <c r="F402" s="29" t="n"/>
      <c r="G402" s="28" t="n"/>
      <c r="H402" s="28" t="n"/>
      <c r="I402" s="28" t="n"/>
      <c r="J402" s="28" t="n"/>
      <c r="K402" s="24">
        <f>IF(D402="","",IFERROR(INDEX(Setup!$B$24:$B$59,MATCH(D402,Setup!$A$24:$A$59,0)),"Check category"))</f>
        <v/>
      </c>
      <c r="L402" s="25">
        <f>IF(A402="","",DATE(YEAR(A402),MONTH(A402),1))</f>
        <v/>
      </c>
      <c r="M402" s="26">
        <f>IF(AND(E402="",F402=""),"",N(E402)-N(F402))</f>
        <v/>
      </c>
      <c r="N402" s="28" t="n"/>
    </row>
    <row r="403">
      <c r="A403" s="27" t="n"/>
      <c r="B403" s="28" t="n"/>
      <c r="C403" s="28" t="n"/>
      <c r="D403" s="28" t="n"/>
      <c r="E403" s="29" t="n"/>
      <c r="F403" s="29" t="n"/>
      <c r="G403" s="28" t="n"/>
      <c r="H403" s="28" t="n"/>
      <c r="I403" s="28" t="n"/>
      <c r="J403" s="28" t="n"/>
      <c r="K403" s="24">
        <f>IF(D403="","",IFERROR(INDEX(Setup!$B$24:$B$59,MATCH(D403,Setup!$A$24:$A$59,0)),"Check category"))</f>
        <v/>
      </c>
      <c r="L403" s="25">
        <f>IF(A403="","",DATE(YEAR(A403),MONTH(A403),1))</f>
        <v/>
      </c>
      <c r="M403" s="26">
        <f>IF(AND(E403="",F403=""),"",N(E403)-N(F403))</f>
        <v/>
      </c>
      <c r="N403" s="28" t="n"/>
    </row>
    <row r="404">
      <c r="A404" s="27" t="n"/>
      <c r="B404" s="28" t="n"/>
      <c r="C404" s="28" t="n"/>
      <c r="D404" s="28" t="n"/>
      <c r="E404" s="29" t="n"/>
      <c r="F404" s="29" t="n"/>
      <c r="G404" s="28" t="n"/>
      <c r="H404" s="28" t="n"/>
      <c r="I404" s="28" t="n"/>
      <c r="J404" s="28" t="n"/>
      <c r="K404" s="24">
        <f>IF(D404="","",IFERROR(INDEX(Setup!$B$24:$B$59,MATCH(D404,Setup!$A$24:$A$59,0)),"Check category"))</f>
        <v/>
      </c>
      <c r="L404" s="25">
        <f>IF(A404="","",DATE(YEAR(A404),MONTH(A404),1))</f>
        <v/>
      </c>
      <c r="M404" s="26">
        <f>IF(AND(E404="",F404=""),"",N(E404)-N(F404))</f>
        <v/>
      </c>
      <c r="N404" s="28" t="n"/>
    </row>
    <row r="405">
      <c r="A405" s="27" t="n"/>
      <c r="B405" s="28" t="n"/>
      <c r="C405" s="28" t="n"/>
      <c r="D405" s="28" t="n"/>
      <c r="E405" s="29" t="n"/>
      <c r="F405" s="29" t="n"/>
      <c r="G405" s="28" t="n"/>
      <c r="H405" s="28" t="n"/>
      <c r="I405" s="28" t="n"/>
      <c r="J405" s="28" t="n"/>
      <c r="K405" s="24">
        <f>IF(D405="","",IFERROR(INDEX(Setup!$B$24:$B$59,MATCH(D405,Setup!$A$24:$A$59,0)),"Check category"))</f>
        <v/>
      </c>
      <c r="L405" s="25">
        <f>IF(A405="","",DATE(YEAR(A405),MONTH(A405),1))</f>
        <v/>
      </c>
      <c r="M405" s="26">
        <f>IF(AND(E405="",F405=""),"",N(E405)-N(F405))</f>
        <v/>
      </c>
      <c r="N405" s="28" t="n"/>
    </row>
    <row r="406">
      <c r="A406" s="27" t="n"/>
      <c r="B406" s="28" t="n"/>
      <c r="C406" s="28" t="n"/>
      <c r="D406" s="28" t="n"/>
      <c r="E406" s="29" t="n"/>
      <c r="F406" s="29" t="n"/>
      <c r="G406" s="28" t="n"/>
      <c r="H406" s="28" t="n"/>
      <c r="I406" s="28" t="n"/>
      <c r="J406" s="28" t="n"/>
      <c r="K406" s="24">
        <f>IF(D406="","",IFERROR(INDEX(Setup!$B$24:$B$59,MATCH(D406,Setup!$A$24:$A$59,0)),"Check category"))</f>
        <v/>
      </c>
      <c r="L406" s="25">
        <f>IF(A406="","",DATE(YEAR(A406),MONTH(A406),1))</f>
        <v/>
      </c>
      <c r="M406" s="26">
        <f>IF(AND(E406="",F406=""),"",N(E406)-N(F406))</f>
        <v/>
      </c>
      <c r="N406" s="28" t="n"/>
    </row>
    <row r="407">
      <c r="A407" s="27" t="n"/>
      <c r="B407" s="28" t="n"/>
      <c r="C407" s="28" t="n"/>
      <c r="D407" s="28" t="n"/>
      <c r="E407" s="29" t="n"/>
      <c r="F407" s="29" t="n"/>
      <c r="G407" s="28" t="n"/>
      <c r="H407" s="28" t="n"/>
      <c r="I407" s="28" t="n"/>
      <c r="J407" s="28" t="n"/>
      <c r="K407" s="24">
        <f>IF(D407="","",IFERROR(INDEX(Setup!$B$24:$B$59,MATCH(D407,Setup!$A$24:$A$59,0)),"Check category"))</f>
        <v/>
      </c>
      <c r="L407" s="25">
        <f>IF(A407="","",DATE(YEAR(A407),MONTH(A407),1))</f>
        <v/>
      </c>
      <c r="M407" s="26">
        <f>IF(AND(E407="",F407=""),"",N(E407)-N(F407))</f>
        <v/>
      </c>
      <c r="N407" s="28" t="n"/>
    </row>
    <row r="408">
      <c r="A408" s="27" t="n"/>
      <c r="B408" s="28" t="n"/>
      <c r="C408" s="28" t="n"/>
      <c r="D408" s="28" t="n"/>
      <c r="E408" s="29" t="n"/>
      <c r="F408" s="29" t="n"/>
      <c r="G408" s="28" t="n"/>
      <c r="H408" s="28" t="n"/>
      <c r="I408" s="28" t="n"/>
      <c r="J408" s="28" t="n"/>
      <c r="K408" s="24">
        <f>IF(D408="","",IFERROR(INDEX(Setup!$B$24:$B$59,MATCH(D408,Setup!$A$24:$A$59,0)),"Check category"))</f>
        <v/>
      </c>
      <c r="L408" s="25">
        <f>IF(A408="","",DATE(YEAR(A408),MONTH(A408),1))</f>
        <v/>
      </c>
      <c r="M408" s="26">
        <f>IF(AND(E408="",F408=""),"",N(E408)-N(F408))</f>
        <v/>
      </c>
      <c r="N408" s="28" t="n"/>
    </row>
    <row r="409">
      <c r="A409" s="27" t="n"/>
      <c r="B409" s="28" t="n"/>
      <c r="C409" s="28" t="n"/>
      <c r="D409" s="28" t="n"/>
      <c r="E409" s="29" t="n"/>
      <c r="F409" s="29" t="n"/>
      <c r="G409" s="28" t="n"/>
      <c r="H409" s="28" t="n"/>
      <c r="I409" s="28" t="n"/>
      <c r="J409" s="28" t="n"/>
      <c r="K409" s="24">
        <f>IF(D409="","",IFERROR(INDEX(Setup!$B$24:$B$59,MATCH(D409,Setup!$A$24:$A$59,0)),"Check category"))</f>
        <v/>
      </c>
      <c r="L409" s="25">
        <f>IF(A409="","",DATE(YEAR(A409),MONTH(A409),1))</f>
        <v/>
      </c>
      <c r="M409" s="26">
        <f>IF(AND(E409="",F409=""),"",N(E409)-N(F409))</f>
        <v/>
      </c>
      <c r="N409" s="28" t="n"/>
    </row>
    <row r="410">
      <c r="A410" s="27" t="n"/>
      <c r="B410" s="28" t="n"/>
      <c r="C410" s="28" t="n"/>
      <c r="D410" s="28" t="n"/>
      <c r="E410" s="29" t="n"/>
      <c r="F410" s="29" t="n"/>
      <c r="G410" s="28" t="n"/>
      <c r="H410" s="28" t="n"/>
      <c r="I410" s="28" t="n"/>
      <c r="J410" s="28" t="n"/>
      <c r="K410" s="24">
        <f>IF(D410="","",IFERROR(INDEX(Setup!$B$24:$B$59,MATCH(D410,Setup!$A$24:$A$59,0)),"Check category"))</f>
        <v/>
      </c>
      <c r="L410" s="25">
        <f>IF(A410="","",DATE(YEAR(A410),MONTH(A410),1))</f>
        <v/>
      </c>
      <c r="M410" s="26">
        <f>IF(AND(E410="",F410=""),"",N(E410)-N(F410))</f>
        <v/>
      </c>
      <c r="N410" s="28" t="n"/>
    </row>
    <row r="411">
      <c r="A411" s="27" t="n"/>
      <c r="B411" s="28" t="n"/>
      <c r="C411" s="28" t="n"/>
      <c r="D411" s="28" t="n"/>
      <c r="E411" s="29" t="n"/>
      <c r="F411" s="29" t="n"/>
      <c r="G411" s="28" t="n"/>
      <c r="H411" s="28" t="n"/>
      <c r="I411" s="28" t="n"/>
      <c r="J411" s="28" t="n"/>
      <c r="K411" s="24">
        <f>IF(D411="","",IFERROR(INDEX(Setup!$B$24:$B$59,MATCH(D411,Setup!$A$24:$A$59,0)),"Check category"))</f>
        <v/>
      </c>
      <c r="L411" s="25">
        <f>IF(A411="","",DATE(YEAR(A411),MONTH(A411),1))</f>
        <v/>
      </c>
      <c r="M411" s="26">
        <f>IF(AND(E411="",F411=""),"",N(E411)-N(F411))</f>
        <v/>
      </c>
      <c r="N411" s="28" t="n"/>
    </row>
    <row r="412">
      <c r="A412" s="27" t="n"/>
      <c r="B412" s="28" t="n"/>
      <c r="C412" s="28" t="n"/>
      <c r="D412" s="28" t="n"/>
      <c r="E412" s="29" t="n"/>
      <c r="F412" s="29" t="n"/>
      <c r="G412" s="28" t="n"/>
      <c r="H412" s="28" t="n"/>
      <c r="I412" s="28" t="n"/>
      <c r="J412" s="28" t="n"/>
      <c r="K412" s="24">
        <f>IF(D412="","",IFERROR(INDEX(Setup!$B$24:$B$59,MATCH(D412,Setup!$A$24:$A$59,0)),"Check category"))</f>
        <v/>
      </c>
      <c r="L412" s="25">
        <f>IF(A412="","",DATE(YEAR(A412),MONTH(A412),1))</f>
        <v/>
      </c>
      <c r="M412" s="26">
        <f>IF(AND(E412="",F412=""),"",N(E412)-N(F412))</f>
        <v/>
      </c>
      <c r="N412" s="28" t="n"/>
    </row>
    <row r="413">
      <c r="A413" s="27" t="n"/>
      <c r="B413" s="28" t="n"/>
      <c r="C413" s="28" t="n"/>
      <c r="D413" s="28" t="n"/>
      <c r="E413" s="29" t="n"/>
      <c r="F413" s="29" t="n"/>
      <c r="G413" s="28" t="n"/>
      <c r="H413" s="28" t="n"/>
      <c r="I413" s="28" t="n"/>
      <c r="J413" s="28" t="n"/>
      <c r="K413" s="24">
        <f>IF(D413="","",IFERROR(INDEX(Setup!$B$24:$B$59,MATCH(D413,Setup!$A$24:$A$59,0)),"Check category"))</f>
        <v/>
      </c>
      <c r="L413" s="25">
        <f>IF(A413="","",DATE(YEAR(A413),MONTH(A413),1))</f>
        <v/>
      </c>
      <c r="M413" s="26">
        <f>IF(AND(E413="",F413=""),"",N(E413)-N(F413))</f>
        <v/>
      </c>
      <c r="N413" s="28" t="n"/>
    </row>
    <row r="414">
      <c r="A414" s="27" t="n"/>
      <c r="B414" s="28" t="n"/>
      <c r="C414" s="28" t="n"/>
      <c r="D414" s="28" t="n"/>
      <c r="E414" s="29" t="n"/>
      <c r="F414" s="29" t="n"/>
      <c r="G414" s="28" t="n"/>
      <c r="H414" s="28" t="n"/>
      <c r="I414" s="28" t="n"/>
      <c r="J414" s="28" t="n"/>
      <c r="K414" s="24">
        <f>IF(D414="","",IFERROR(INDEX(Setup!$B$24:$B$59,MATCH(D414,Setup!$A$24:$A$59,0)),"Check category"))</f>
        <v/>
      </c>
      <c r="L414" s="25">
        <f>IF(A414="","",DATE(YEAR(A414),MONTH(A414),1))</f>
        <v/>
      </c>
      <c r="M414" s="26">
        <f>IF(AND(E414="",F414=""),"",N(E414)-N(F414))</f>
        <v/>
      </c>
      <c r="N414" s="28" t="n"/>
    </row>
    <row r="415">
      <c r="A415" s="27" t="n"/>
      <c r="B415" s="28" t="n"/>
      <c r="C415" s="28" t="n"/>
      <c r="D415" s="28" t="n"/>
      <c r="E415" s="29" t="n"/>
      <c r="F415" s="29" t="n"/>
      <c r="G415" s="28" t="n"/>
      <c r="H415" s="28" t="n"/>
      <c r="I415" s="28" t="n"/>
      <c r="J415" s="28" t="n"/>
      <c r="K415" s="24">
        <f>IF(D415="","",IFERROR(INDEX(Setup!$B$24:$B$59,MATCH(D415,Setup!$A$24:$A$59,0)),"Check category"))</f>
        <v/>
      </c>
      <c r="L415" s="25">
        <f>IF(A415="","",DATE(YEAR(A415),MONTH(A415),1))</f>
        <v/>
      </c>
      <c r="M415" s="26">
        <f>IF(AND(E415="",F415=""),"",N(E415)-N(F415))</f>
        <v/>
      </c>
      <c r="N415" s="28" t="n"/>
    </row>
    <row r="416">
      <c r="A416" s="27" t="n"/>
      <c r="B416" s="28" t="n"/>
      <c r="C416" s="28" t="n"/>
      <c r="D416" s="28" t="n"/>
      <c r="E416" s="29" t="n"/>
      <c r="F416" s="29" t="n"/>
      <c r="G416" s="28" t="n"/>
      <c r="H416" s="28" t="n"/>
      <c r="I416" s="28" t="n"/>
      <c r="J416" s="28" t="n"/>
      <c r="K416" s="24">
        <f>IF(D416="","",IFERROR(INDEX(Setup!$B$24:$B$59,MATCH(D416,Setup!$A$24:$A$59,0)),"Check category"))</f>
        <v/>
      </c>
      <c r="L416" s="25">
        <f>IF(A416="","",DATE(YEAR(A416),MONTH(A416),1))</f>
        <v/>
      </c>
      <c r="M416" s="26">
        <f>IF(AND(E416="",F416=""),"",N(E416)-N(F416))</f>
        <v/>
      </c>
      <c r="N416" s="28" t="n"/>
    </row>
    <row r="417">
      <c r="A417" s="27" t="n"/>
      <c r="B417" s="28" t="n"/>
      <c r="C417" s="28" t="n"/>
      <c r="D417" s="28" t="n"/>
      <c r="E417" s="29" t="n"/>
      <c r="F417" s="29" t="n"/>
      <c r="G417" s="28" t="n"/>
      <c r="H417" s="28" t="n"/>
      <c r="I417" s="28" t="n"/>
      <c r="J417" s="28" t="n"/>
      <c r="K417" s="24">
        <f>IF(D417="","",IFERROR(INDEX(Setup!$B$24:$B$59,MATCH(D417,Setup!$A$24:$A$59,0)),"Check category"))</f>
        <v/>
      </c>
      <c r="L417" s="25">
        <f>IF(A417="","",DATE(YEAR(A417),MONTH(A417),1))</f>
        <v/>
      </c>
      <c r="M417" s="26">
        <f>IF(AND(E417="",F417=""),"",N(E417)-N(F417))</f>
        <v/>
      </c>
      <c r="N417" s="28" t="n"/>
    </row>
    <row r="418">
      <c r="A418" s="27" t="n"/>
      <c r="B418" s="28" t="n"/>
      <c r="C418" s="28" t="n"/>
      <c r="D418" s="28" t="n"/>
      <c r="E418" s="29" t="n"/>
      <c r="F418" s="29" t="n"/>
      <c r="G418" s="28" t="n"/>
      <c r="H418" s="28" t="n"/>
      <c r="I418" s="28" t="n"/>
      <c r="J418" s="28" t="n"/>
      <c r="K418" s="24">
        <f>IF(D418="","",IFERROR(INDEX(Setup!$B$24:$B$59,MATCH(D418,Setup!$A$24:$A$59,0)),"Check category"))</f>
        <v/>
      </c>
      <c r="L418" s="25">
        <f>IF(A418="","",DATE(YEAR(A418),MONTH(A418),1))</f>
        <v/>
      </c>
      <c r="M418" s="26">
        <f>IF(AND(E418="",F418=""),"",N(E418)-N(F418))</f>
        <v/>
      </c>
      <c r="N418" s="28" t="n"/>
    </row>
    <row r="419">
      <c r="A419" s="27" t="n"/>
      <c r="B419" s="28" t="n"/>
      <c r="C419" s="28" t="n"/>
      <c r="D419" s="28" t="n"/>
      <c r="E419" s="29" t="n"/>
      <c r="F419" s="29" t="n"/>
      <c r="G419" s="28" t="n"/>
      <c r="H419" s="28" t="n"/>
      <c r="I419" s="28" t="n"/>
      <c r="J419" s="28" t="n"/>
      <c r="K419" s="24">
        <f>IF(D419="","",IFERROR(INDEX(Setup!$B$24:$B$59,MATCH(D419,Setup!$A$24:$A$59,0)),"Check category"))</f>
        <v/>
      </c>
      <c r="L419" s="25">
        <f>IF(A419="","",DATE(YEAR(A419),MONTH(A419),1))</f>
        <v/>
      </c>
      <c r="M419" s="26">
        <f>IF(AND(E419="",F419=""),"",N(E419)-N(F419))</f>
        <v/>
      </c>
      <c r="N419" s="28" t="n"/>
    </row>
    <row r="420">
      <c r="A420" s="27" t="n"/>
      <c r="B420" s="28" t="n"/>
      <c r="C420" s="28" t="n"/>
      <c r="D420" s="28" t="n"/>
      <c r="E420" s="29" t="n"/>
      <c r="F420" s="29" t="n"/>
      <c r="G420" s="28" t="n"/>
      <c r="H420" s="28" t="n"/>
      <c r="I420" s="28" t="n"/>
      <c r="J420" s="28" t="n"/>
      <c r="K420" s="24">
        <f>IF(D420="","",IFERROR(INDEX(Setup!$B$24:$B$59,MATCH(D420,Setup!$A$24:$A$59,0)),"Check category"))</f>
        <v/>
      </c>
      <c r="L420" s="25">
        <f>IF(A420="","",DATE(YEAR(A420),MONTH(A420),1))</f>
        <v/>
      </c>
      <c r="M420" s="26">
        <f>IF(AND(E420="",F420=""),"",N(E420)-N(F420))</f>
        <v/>
      </c>
      <c r="N420" s="28" t="n"/>
    </row>
    <row r="421">
      <c r="A421" s="27" t="n"/>
      <c r="B421" s="28" t="n"/>
      <c r="C421" s="28" t="n"/>
      <c r="D421" s="28" t="n"/>
      <c r="E421" s="29" t="n"/>
      <c r="F421" s="29" t="n"/>
      <c r="G421" s="28" t="n"/>
      <c r="H421" s="28" t="n"/>
      <c r="I421" s="28" t="n"/>
      <c r="J421" s="28" t="n"/>
      <c r="K421" s="24">
        <f>IF(D421="","",IFERROR(INDEX(Setup!$B$24:$B$59,MATCH(D421,Setup!$A$24:$A$59,0)),"Check category"))</f>
        <v/>
      </c>
      <c r="L421" s="25">
        <f>IF(A421="","",DATE(YEAR(A421),MONTH(A421),1))</f>
        <v/>
      </c>
      <c r="M421" s="26">
        <f>IF(AND(E421="",F421=""),"",N(E421)-N(F421))</f>
        <v/>
      </c>
      <c r="N421" s="28" t="n"/>
    </row>
    <row r="422">
      <c r="A422" s="27" t="n"/>
      <c r="B422" s="28" t="n"/>
      <c r="C422" s="28" t="n"/>
      <c r="D422" s="28" t="n"/>
      <c r="E422" s="29" t="n"/>
      <c r="F422" s="29" t="n"/>
      <c r="G422" s="28" t="n"/>
      <c r="H422" s="28" t="n"/>
      <c r="I422" s="28" t="n"/>
      <c r="J422" s="28" t="n"/>
      <c r="K422" s="24">
        <f>IF(D422="","",IFERROR(INDEX(Setup!$B$24:$B$59,MATCH(D422,Setup!$A$24:$A$59,0)),"Check category"))</f>
        <v/>
      </c>
      <c r="L422" s="25">
        <f>IF(A422="","",DATE(YEAR(A422),MONTH(A422),1))</f>
        <v/>
      </c>
      <c r="M422" s="26">
        <f>IF(AND(E422="",F422=""),"",N(E422)-N(F422))</f>
        <v/>
      </c>
      <c r="N422" s="28" t="n"/>
    </row>
    <row r="423">
      <c r="A423" s="27" t="n"/>
      <c r="B423" s="28" t="n"/>
      <c r="C423" s="28" t="n"/>
      <c r="D423" s="28" t="n"/>
      <c r="E423" s="29" t="n"/>
      <c r="F423" s="29" t="n"/>
      <c r="G423" s="28" t="n"/>
      <c r="H423" s="28" t="n"/>
      <c r="I423" s="28" t="n"/>
      <c r="J423" s="28" t="n"/>
      <c r="K423" s="24">
        <f>IF(D423="","",IFERROR(INDEX(Setup!$B$24:$B$59,MATCH(D423,Setup!$A$24:$A$59,0)),"Check category"))</f>
        <v/>
      </c>
      <c r="L423" s="25">
        <f>IF(A423="","",DATE(YEAR(A423),MONTH(A423),1))</f>
        <v/>
      </c>
      <c r="M423" s="26">
        <f>IF(AND(E423="",F423=""),"",N(E423)-N(F423))</f>
        <v/>
      </c>
      <c r="N423" s="28" t="n"/>
    </row>
    <row r="424">
      <c r="A424" s="27" t="n"/>
      <c r="B424" s="28" t="n"/>
      <c r="C424" s="28" t="n"/>
      <c r="D424" s="28" t="n"/>
      <c r="E424" s="29" t="n"/>
      <c r="F424" s="29" t="n"/>
      <c r="G424" s="28" t="n"/>
      <c r="H424" s="28" t="n"/>
      <c r="I424" s="28" t="n"/>
      <c r="J424" s="28" t="n"/>
      <c r="K424" s="24">
        <f>IF(D424="","",IFERROR(INDEX(Setup!$B$24:$B$59,MATCH(D424,Setup!$A$24:$A$59,0)),"Check category"))</f>
        <v/>
      </c>
      <c r="L424" s="25">
        <f>IF(A424="","",DATE(YEAR(A424),MONTH(A424),1))</f>
        <v/>
      </c>
      <c r="M424" s="26">
        <f>IF(AND(E424="",F424=""),"",N(E424)-N(F424))</f>
        <v/>
      </c>
      <c r="N424" s="28" t="n"/>
    </row>
    <row r="425">
      <c r="A425" s="27" t="n"/>
      <c r="B425" s="28" t="n"/>
      <c r="C425" s="28" t="n"/>
      <c r="D425" s="28" t="n"/>
      <c r="E425" s="29" t="n"/>
      <c r="F425" s="29" t="n"/>
      <c r="G425" s="28" t="n"/>
      <c r="H425" s="28" t="n"/>
      <c r="I425" s="28" t="n"/>
      <c r="J425" s="28" t="n"/>
      <c r="K425" s="24">
        <f>IF(D425="","",IFERROR(INDEX(Setup!$B$24:$B$59,MATCH(D425,Setup!$A$24:$A$59,0)),"Check category"))</f>
        <v/>
      </c>
      <c r="L425" s="25">
        <f>IF(A425="","",DATE(YEAR(A425),MONTH(A425),1))</f>
        <v/>
      </c>
      <c r="M425" s="26">
        <f>IF(AND(E425="",F425=""),"",N(E425)-N(F425))</f>
        <v/>
      </c>
      <c r="N425" s="28" t="n"/>
    </row>
    <row r="426">
      <c r="A426" s="27" t="n"/>
      <c r="B426" s="28" t="n"/>
      <c r="C426" s="28" t="n"/>
      <c r="D426" s="28" t="n"/>
      <c r="E426" s="29" t="n"/>
      <c r="F426" s="29" t="n"/>
      <c r="G426" s="28" t="n"/>
      <c r="H426" s="28" t="n"/>
      <c r="I426" s="28" t="n"/>
      <c r="J426" s="28" t="n"/>
      <c r="K426" s="24">
        <f>IF(D426="","",IFERROR(INDEX(Setup!$B$24:$B$59,MATCH(D426,Setup!$A$24:$A$59,0)),"Check category"))</f>
        <v/>
      </c>
      <c r="L426" s="25">
        <f>IF(A426="","",DATE(YEAR(A426),MONTH(A426),1))</f>
        <v/>
      </c>
      <c r="M426" s="26">
        <f>IF(AND(E426="",F426=""),"",N(E426)-N(F426))</f>
        <v/>
      </c>
      <c r="N426" s="28" t="n"/>
    </row>
    <row r="427">
      <c r="A427" s="27" t="n"/>
      <c r="B427" s="28" t="n"/>
      <c r="C427" s="28" t="n"/>
      <c r="D427" s="28" t="n"/>
      <c r="E427" s="29" t="n"/>
      <c r="F427" s="29" t="n"/>
      <c r="G427" s="28" t="n"/>
      <c r="H427" s="28" t="n"/>
      <c r="I427" s="28" t="n"/>
      <c r="J427" s="28" t="n"/>
      <c r="K427" s="24">
        <f>IF(D427="","",IFERROR(INDEX(Setup!$B$24:$B$59,MATCH(D427,Setup!$A$24:$A$59,0)),"Check category"))</f>
        <v/>
      </c>
      <c r="L427" s="25">
        <f>IF(A427="","",DATE(YEAR(A427),MONTH(A427),1))</f>
        <v/>
      </c>
      <c r="M427" s="26">
        <f>IF(AND(E427="",F427=""),"",N(E427)-N(F427))</f>
        <v/>
      </c>
      <c r="N427" s="28" t="n"/>
    </row>
    <row r="428">
      <c r="A428" s="27" t="n"/>
      <c r="B428" s="28" t="n"/>
      <c r="C428" s="28" t="n"/>
      <c r="D428" s="28" t="n"/>
      <c r="E428" s="29" t="n"/>
      <c r="F428" s="29" t="n"/>
      <c r="G428" s="28" t="n"/>
      <c r="H428" s="28" t="n"/>
      <c r="I428" s="28" t="n"/>
      <c r="J428" s="28" t="n"/>
      <c r="K428" s="24">
        <f>IF(D428="","",IFERROR(INDEX(Setup!$B$24:$B$59,MATCH(D428,Setup!$A$24:$A$59,0)),"Check category"))</f>
        <v/>
      </c>
      <c r="L428" s="25">
        <f>IF(A428="","",DATE(YEAR(A428),MONTH(A428),1))</f>
        <v/>
      </c>
      <c r="M428" s="26">
        <f>IF(AND(E428="",F428=""),"",N(E428)-N(F428))</f>
        <v/>
      </c>
      <c r="N428" s="28" t="n"/>
    </row>
    <row r="429">
      <c r="A429" s="27" t="n"/>
      <c r="B429" s="28" t="n"/>
      <c r="C429" s="28" t="n"/>
      <c r="D429" s="28" t="n"/>
      <c r="E429" s="29" t="n"/>
      <c r="F429" s="29" t="n"/>
      <c r="G429" s="28" t="n"/>
      <c r="H429" s="28" t="n"/>
      <c r="I429" s="28" t="n"/>
      <c r="J429" s="28" t="n"/>
      <c r="K429" s="24">
        <f>IF(D429="","",IFERROR(INDEX(Setup!$B$24:$B$59,MATCH(D429,Setup!$A$24:$A$59,0)),"Check category"))</f>
        <v/>
      </c>
      <c r="L429" s="25">
        <f>IF(A429="","",DATE(YEAR(A429),MONTH(A429),1))</f>
        <v/>
      </c>
      <c r="M429" s="26">
        <f>IF(AND(E429="",F429=""),"",N(E429)-N(F429))</f>
        <v/>
      </c>
      <c r="N429" s="28" t="n"/>
    </row>
    <row r="430">
      <c r="A430" s="27" t="n"/>
      <c r="B430" s="28" t="n"/>
      <c r="C430" s="28" t="n"/>
      <c r="D430" s="28" t="n"/>
      <c r="E430" s="29" t="n"/>
      <c r="F430" s="29" t="n"/>
      <c r="G430" s="28" t="n"/>
      <c r="H430" s="28" t="n"/>
      <c r="I430" s="28" t="n"/>
      <c r="J430" s="28" t="n"/>
      <c r="K430" s="24">
        <f>IF(D430="","",IFERROR(INDEX(Setup!$B$24:$B$59,MATCH(D430,Setup!$A$24:$A$59,0)),"Check category"))</f>
        <v/>
      </c>
      <c r="L430" s="25">
        <f>IF(A430="","",DATE(YEAR(A430),MONTH(A430),1))</f>
        <v/>
      </c>
      <c r="M430" s="26">
        <f>IF(AND(E430="",F430=""),"",N(E430)-N(F430))</f>
        <v/>
      </c>
      <c r="N430" s="28" t="n"/>
    </row>
    <row r="431">
      <c r="A431" s="27" t="n"/>
      <c r="B431" s="28" t="n"/>
      <c r="C431" s="28" t="n"/>
      <c r="D431" s="28" t="n"/>
      <c r="E431" s="29" t="n"/>
      <c r="F431" s="29" t="n"/>
      <c r="G431" s="28" t="n"/>
      <c r="H431" s="28" t="n"/>
      <c r="I431" s="28" t="n"/>
      <c r="J431" s="28" t="n"/>
      <c r="K431" s="24">
        <f>IF(D431="","",IFERROR(INDEX(Setup!$B$24:$B$59,MATCH(D431,Setup!$A$24:$A$59,0)),"Check category"))</f>
        <v/>
      </c>
      <c r="L431" s="25">
        <f>IF(A431="","",DATE(YEAR(A431),MONTH(A431),1))</f>
        <v/>
      </c>
      <c r="M431" s="26">
        <f>IF(AND(E431="",F431=""),"",N(E431)-N(F431))</f>
        <v/>
      </c>
      <c r="N431" s="28" t="n"/>
    </row>
    <row r="432">
      <c r="A432" s="27" t="n"/>
      <c r="B432" s="28" t="n"/>
      <c r="C432" s="28" t="n"/>
      <c r="D432" s="28" t="n"/>
      <c r="E432" s="29" t="n"/>
      <c r="F432" s="29" t="n"/>
      <c r="G432" s="28" t="n"/>
      <c r="H432" s="28" t="n"/>
      <c r="I432" s="28" t="n"/>
      <c r="J432" s="28" t="n"/>
      <c r="K432" s="24">
        <f>IF(D432="","",IFERROR(INDEX(Setup!$B$24:$B$59,MATCH(D432,Setup!$A$24:$A$59,0)),"Check category"))</f>
        <v/>
      </c>
      <c r="L432" s="25">
        <f>IF(A432="","",DATE(YEAR(A432),MONTH(A432),1))</f>
        <v/>
      </c>
      <c r="M432" s="26">
        <f>IF(AND(E432="",F432=""),"",N(E432)-N(F432))</f>
        <v/>
      </c>
      <c r="N432" s="28" t="n"/>
    </row>
    <row r="433">
      <c r="A433" s="27" t="n"/>
      <c r="B433" s="28" t="n"/>
      <c r="C433" s="28" t="n"/>
      <c r="D433" s="28" t="n"/>
      <c r="E433" s="29" t="n"/>
      <c r="F433" s="29" t="n"/>
      <c r="G433" s="28" t="n"/>
      <c r="H433" s="28" t="n"/>
      <c r="I433" s="28" t="n"/>
      <c r="J433" s="28" t="n"/>
      <c r="K433" s="24">
        <f>IF(D433="","",IFERROR(INDEX(Setup!$B$24:$B$59,MATCH(D433,Setup!$A$24:$A$59,0)),"Check category"))</f>
        <v/>
      </c>
      <c r="L433" s="25">
        <f>IF(A433="","",DATE(YEAR(A433),MONTH(A433),1))</f>
        <v/>
      </c>
      <c r="M433" s="26">
        <f>IF(AND(E433="",F433=""),"",N(E433)-N(F433))</f>
        <v/>
      </c>
      <c r="N433" s="28" t="n"/>
    </row>
    <row r="434">
      <c r="A434" s="27" t="n"/>
      <c r="B434" s="28" t="n"/>
      <c r="C434" s="28" t="n"/>
      <c r="D434" s="28" t="n"/>
      <c r="E434" s="29" t="n"/>
      <c r="F434" s="29" t="n"/>
      <c r="G434" s="28" t="n"/>
      <c r="H434" s="28" t="n"/>
      <c r="I434" s="28" t="n"/>
      <c r="J434" s="28" t="n"/>
      <c r="K434" s="24">
        <f>IF(D434="","",IFERROR(INDEX(Setup!$B$24:$B$59,MATCH(D434,Setup!$A$24:$A$59,0)),"Check category"))</f>
        <v/>
      </c>
      <c r="L434" s="25">
        <f>IF(A434="","",DATE(YEAR(A434),MONTH(A434),1))</f>
        <v/>
      </c>
      <c r="M434" s="26">
        <f>IF(AND(E434="",F434=""),"",N(E434)-N(F434))</f>
        <v/>
      </c>
      <c r="N434" s="28" t="n"/>
    </row>
    <row r="435">
      <c r="A435" s="27" t="n"/>
      <c r="B435" s="28" t="n"/>
      <c r="C435" s="28" t="n"/>
      <c r="D435" s="28" t="n"/>
      <c r="E435" s="29" t="n"/>
      <c r="F435" s="29" t="n"/>
      <c r="G435" s="28" t="n"/>
      <c r="H435" s="28" t="n"/>
      <c r="I435" s="28" t="n"/>
      <c r="J435" s="28" t="n"/>
      <c r="K435" s="24">
        <f>IF(D435="","",IFERROR(INDEX(Setup!$B$24:$B$59,MATCH(D435,Setup!$A$24:$A$59,0)),"Check category"))</f>
        <v/>
      </c>
      <c r="L435" s="25">
        <f>IF(A435="","",DATE(YEAR(A435),MONTH(A435),1))</f>
        <v/>
      </c>
      <c r="M435" s="26">
        <f>IF(AND(E435="",F435=""),"",N(E435)-N(F435))</f>
        <v/>
      </c>
      <c r="N435" s="28" t="n"/>
    </row>
    <row r="436">
      <c r="A436" s="27" t="n"/>
      <c r="B436" s="28" t="n"/>
      <c r="C436" s="28" t="n"/>
      <c r="D436" s="28" t="n"/>
      <c r="E436" s="29" t="n"/>
      <c r="F436" s="29" t="n"/>
      <c r="G436" s="28" t="n"/>
      <c r="H436" s="28" t="n"/>
      <c r="I436" s="28" t="n"/>
      <c r="J436" s="28" t="n"/>
      <c r="K436" s="24">
        <f>IF(D436="","",IFERROR(INDEX(Setup!$B$24:$B$59,MATCH(D436,Setup!$A$24:$A$59,0)),"Check category"))</f>
        <v/>
      </c>
      <c r="L436" s="25">
        <f>IF(A436="","",DATE(YEAR(A436),MONTH(A436),1))</f>
        <v/>
      </c>
      <c r="M436" s="26">
        <f>IF(AND(E436="",F436=""),"",N(E436)-N(F436))</f>
        <v/>
      </c>
      <c r="N436" s="28" t="n"/>
    </row>
    <row r="437">
      <c r="A437" s="27" t="n"/>
      <c r="B437" s="28" t="n"/>
      <c r="C437" s="28" t="n"/>
      <c r="D437" s="28" t="n"/>
      <c r="E437" s="29" t="n"/>
      <c r="F437" s="29" t="n"/>
      <c r="G437" s="28" t="n"/>
      <c r="H437" s="28" t="n"/>
      <c r="I437" s="28" t="n"/>
      <c r="J437" s="28" t="n"/>
      <c r="K437" s="24">
        <f>IF(D437="","",IFERROR(INDEX(Setup!$B$24:$B$59,MATCH(D437,Setup!$A$24:$A$59,0)),"Check category"))</f>
        <v/>
      </c>
      <c r="L437" s="25">
        <f>IF(A437="","",DATE(YEAR(A437),MONTH(A437),1))</f>
        <v/>
      </c>
      <c r="M437" s="26">
        <f>IF(AND(E437="",F437=""),"",N(E437)-N(F437))</f>
        <v/>
      </c>
      <c r="N437" s="28" t="n"/>
    </row>
    <row r="438">
      <c r="A438" s="27" t="n"/>
      <c r="B438" s="28" t="n"/>
      <c r="C438" s="28" t="n"/>
      <c r="D438" s="28" t="n"/>
      <c r="E438" s="29" t="n"/>
      <c r="F438" s="29" t="n"/>
      <c r="G438" s="28" t="n"/>
      <c r="H438" s="28" t="n"/>
      <c r="I438" s="28" t="n"/>
      <c r="J438" s="28" t="n"/>
      <c r="K438" s="24">
        <f>IF(D438="","",IFERROR(INDEX(Setup!$B$24:$B$59,MATCH(D438,Setup!$A$24:$A$59,0)),"Check category"))</f>
        <v/>
      </c>
      <c r="L438" s="25">
        <f>IF(A438="","",DATE(YEAR(A438),MONTH(A438),1))</f>
        <v/>
      </c>
      <c r="M438" s="26">
        <f>IF(AND(E438="",F438=""),"",N(E438)-N(F438))</f>
        <v/>
      </c>
      <c r="N438" s="28" t="n"/>
    </row>
    <row r="439">
      <c r="A439" s="27" t="n"/>
      <c r="B439" s="28" t="n"/>
      <c r="C439" s="28" t="n"/>
      <c r="D439" s="28" t="n"/>
      <c r="E439" s="29" t="n"/>
      <c r="F439" s="29" t="n"/>
      <c r="G439" s="28" t="n"/>
      <c r="H439" s="28" t="n"/>
      <c r="I439" s="28" t="n"/>
      <c r="J439" s="28" t="n"/>
      <c r="K439" s="24">
        <f>IF(D439="","",IFERROR(INDEX(Setup!$B$24:$B$59,MATCH(D439,Setup!$A$24:$A$59,0)),"Check category"))</f>
        <v/>
      </c>
      <c r="L439" s="25">
        <f>IF(A439="","",DATE(YEAR(A439),MONTH(A439),1))</f>
        <v/>
      </c>
      <c r="M439" s="26">
        <f>IF(AND(E439="",F439=""),"",N(E439)-N(F439))</f>
        <v/>
      </c>
      <c r="N439" s="28" t="n"/>
    </row>
    <row r="440">
      <c r="A440" s="27" t="n"/>
      <c r="B440" s="28" t="n"/>
      <c r="C440" s="28" t="n"/>
      <c r="D440" s="28" t="n"/>
      <c r="E440" s="29" t="n"/>
      <c r="F440" s="29" t="n"/>
      <c r="G440" s="28" t="n"/>
      <c r="H440" s="28" t="n"/>
      <c r="I440" s="28" t="n"/>
      <c r="J440" s="28" t="n"/>
      <c r="K440" s="24">
        <f>IF(D440="","",IFERROR(INDEX(Setup!$B$24:$B$59,MATCH(D440,Setup!$A$24:$A$59,0)),"Check category"))</f>
        <v/>
      </c>
      <c r="L440" s="25">
        <f>IF(A440="","",DATE(YEAR(A440),MONTH(A440),1))</f>
        <v/>
      </c>
      <c r="M440" s="26">
        <f>IF(AND(E440="",F440=""),"",N(E440)-N(F440))</f>
        <v/>
      </c>
      <c r="N440" s="28" t="n"/>
    </row>
    <row r="441">
      <c r="A441" s="27" t="n"/>
      <c r="B441" s="28" t="n"/>
      <c r="C441" s="28" t="n"/>
      <c r="D441" s="28" t="n"/>
      <c r="E441" s="29" t="n"/>
      <c r="F441" s="29" t="n"/>
      <c r="G441" s="28" t="n"/>
      <c r="H441" s="28" t="n"/>
      <c r="I441" s="28" t="n"/>
      <c r="J441" s="28" t="n"/>
      <c r="K441" s="24">
        <f>IF(D441="","",IFERROR(INDEX(Setup!$B$24:$B$59,MATCH(D441,Setup!$A$24:$A$59,0)),"Check category"))</f>
        <v/>
      </c>
      <c r="L441" s="25">
        <f>IF(A441="","",DATE(YEAR(A441),MONTH(A441),1))</f>
        <v/>
      </c>
      <c r="M441" s="26">
        <f>IF(AND(E441="",F441=""),"",N(E441)-N(F441))</f>
        <v/>
      </c>
      <c r="N441" s="28" t="n"/>
    </row>
    <row r="442">
      <c r="A442" s="27" t="n"/>
      <c r="B442" s="28" t="n"/>
      <c r="C442" s="28" t="n"/>
      <c r="D442" s="28" t="n"/>
      <c r="E442" s="29" t="n"/>
      <c r="F442" s="29" t="n"/>
      <c r="G442" s="28" t="n"/>
      <c r="H442" s="28" t="n"/>
      <c r="I442" s="28" t="n"/>
      <c r="J442" s="28" t="n"/>
      <c r="K442" s="24">
        <f>IF(D442="","",IFERROR(INDEX(Setup!$B$24:$B$59,MATCH(D442,Setup!$A$24:$A$59,0)),"Check category"))</f>
        <v/>
      </c>
      <c r="L442" s="25">
        <f>IF(A442="","",DATE(YEAR(A442),MONTH(A442),1))</f>
        <v/>
      </c>
      <c r="M442" s="26">
        <f>IF(AND(E442="",F442=""),"",N(E442)-N(F442))</f>
        <v/>
      </c>
      <c r="N442" s="28" t="n"/>
    </row>
    <row r="443">
      <c r="A443" s="27" t="n"/>
      <c r="B443" s="28" t="n"/>
      <c r="C443" s="28" t="n"/>
      <c r="D443" s="28" t="n"/>
      <c r="E443" s="29" t="n"/>
      <c r="F443" s="29" t="n"/>
      <c r="G443" s="28" t="n"/>
      <c r="H443" s="28" t="n"/>
      <c r="I443" s="28" t="n"/>
      <c r="J443" s="28" t="n"/>
      <c r="K443" s="24">
        <f>IF(D443="","",IFERROR(INDEX(Setup!$B$24:$B$59,MATCH(D443,Setup!$A$24:$A$59,0)),"Check category"))</f>
        <v/>
      </c>
      <c r="L443" s="25">
        <f>IF(A443="","",DATE(YEAR(A443),MONTH(A443),1))</f>
        <v/>
      </c>
      <c r="M443" s="26">
        <f>IF(AND(E443="",F443=""),"",N(E443)-N(F443))</f>
        <v/>
      </c>
      <c r="N443" s="28" t="n"/>
    </row>
    <row r="444">
      <c r="A444" s="27" t="n"/>
      <c r="B444" s="28" t="n"/>
      <c r="C444" s="28" t="n"/>
      <c r="D444" s="28" t="n"/>
      <c r="E444" s="29" t="n"/>
      <c r="F444" s="29" t="n"/>
      <c r="G444" s="28" t="n"/>
      <c r="H444" s="28" t="n"/>
      <c r="I444" s="28" t="n"/>
      <c r="J444" s="28" t="n"/>
      <c r="K444" s="24">
        <f>IF(D444="","",IFERROR(INDEX(Setup!$B$24:$B$59,MATCH(D444,Setup!$A$24:$A$59,0)),"Check category"))</f>
        <v/>
      </c>
      <c r="L444" s="25">
        <f>IF(A444="","",DATE(YEAR(A444),MONTH(A444),1))</f>
        <v/>
      </c>
      <c r="M444" s="26">
        <f>IF(AND(E444="",F444=""),"",N(E444)-N(F444))</f>
        <v/>
      </c>
      <c r="N444" s="28" t="n"/>
    </row>
    <row r="445">
      <c r="A445" s="27" t="n"/>
      <c r="B445" s="28" t="n"/>
      <c r="C445" s="28" t="n"/>
      <c r="D445" s="28" t="n"/>
      <c r="E445" s="29" t="n"/>
      <c r="F445" s="29" t="n"/>
      <c r="G445" s="28" t="n"/>
      <c r="H445" s="28" t="n"/>
      <c r="I445" s="28" t="n"/>
      <c r="J445" s="28" t="n"/>
      <c r="K445" s="24">
        <f>IF(D445="","",IFERROR(INDEX(Setup!$B$24:$B$59,MATCH(D445,Setup!$A$24:$A$59,0)),"Check category"))</f>
        <v/>
      </c>
      <c r="L445" s="25">
        <f>IF(A445="","",DATE(YEAR(A445),MONTH(A445),1))</f>
        <v/>
      </c>
      <c r="M445" s="26">
        <f>IF(AND(E445="",F445=""),"",N(E445)-N(F445))</f>
        <v/>
      </c>
      <c r="N445" s="28" t="n"/>
    </row>
    <row r="446">
      <c r="A446" s="27" t="n"/>
      <c r="B446" s="28" t="n"/>
      <c r="C446" s="28" t="n"/>
      <c r="D446" s="28" t="n"/>
      <c r="E446" s="29" t="n"/>
      <c r="F446" s="29" t="n"/>
      <c r="G446" s="28" t="n"/>
      <c r="H446" s="28" t="n"/>
      <c r="I446" s="28" t="n"/>
      <c r="J446" s="28" t="n"/>
      <c r="K446" s="24">
        <f>IF(D446="","",IFERROR(INDEX(Setup!$B$24:$B$59,MATCH(D446,Setup!$A$24:$A$59,0)),"Check category"))</f>
        <v/>
      </c>
      <c r="L446" s="25">
        <f>IF(A446="","",DATE(YEAR(A446),MONTH(A446),1))</f>
        <v/>
      </c>
      <c r="M446" s="26">
        <f>IF(AND(E446="",F446=""),"",N(E446)-N(F446))</f>
        <v/>
      </c>
      <c r="N446" s="28" t="n"/>
    </row>
    <row r="447">
      <c r="A447" s="27" t="n"/>
      <c r="B447" s="28" t="n"/>
      <c r="C447" s="28" t="n"/>
      <c r="D447" s="28" t="n"/>
      <c r="E447" s="29" t="n"/>
      <c r="F447" s="29" t="n"/>
      <c r="G447" s="28" t="n"/>
      <c r="H447" s="28" t="n"/>
      <c r="I447" s="28" t="n"/>
      <c r="J447" s="28" t="n"/>
      <c r="K447" s="24">
        <f>IF(D447="","",IFERROR(INDEX(Setup!$B$24:$B$59,MATCH(D447,Setup!$A$24:$A$59,0)),"Check category"))</f>
        <v/>
      </c>
      <c r="L447" s="25">
        <f>IF(A447="","",DATE(YEAR(A447),MONTH(A447),1))</f>
        <v/>
      </c>
      <c r="M447" s="26">
        <f>IF(AND(E447="",F447=""),"",N(E447)-N(F447))</f>
        <v/>
      </c>
      <c r="N447" s="28" t="n"/>
    </row>
    <row r="448">
      <c r="A448" s="27" t="n"/>
      <c r="B448" s="28" t="n"/>
      <c r="C448" s="28" t="n"/>
      <c r="D448" s="28" t="n"/>
      <c r="E448" s="29" t="n"/>
      <c r="F448" s="29" t="n"/>
      <c r="G448" s="28" t="n"/>
      <c r="H448" s="28" t="n"/>
      <c r="I448" s="28" t="n"/>
      <c r="J448" s="28" t="n"/>
      <c r="K448" s="24">
        <f>IF(D448="","",IFERROR(INDEX(Setup!$B$24:$B$59,MATCH(D448,Setup!$A$24:$A$59,0)),"Check category"))</f>
        <v/>
      </c>
      <c r="L448" s="25">
        <f>IF(A448="","",DATE(YEAR(A448),MONTH(A448),1))</f>
        <v/>
      </c>
      <c r="M448" s="26">
        <f>IF(AND(E448="",F448=""),"",N(E448)-N(F448))</f>
        <v/>
      </c>
      <c r="N448" s="28" t="n"/>
    </row>
    <row r="449">
      <c r="A449" s="27" t="n"/>
      <c r="B449" s="28" t="n"/>
      <c r="C449" s="28" t="n"/>
      <c r="D449" s="28" t="n"/>
      <c r="E449" s="29" t="n"/>
      <c r="F449" s="29" t="n"/>
      <c r="G449" s="28" t="n"/>
      <c r="H449" s="28" t="n"/>
      <c r="I449" s="28" t="n"/>
      <c r="J449" s="28" t="n"/>
      <c r="K449" s="24">
        <f>IF(D449="","",IFERROR(INDEX(Setup!$B$24:$B$59,MATCH(D449,Setup!$A$24:$A$59,0)),"Check category"))</f>
        <v/>
      </c>
      <c r="L449" s="25">
        <f>IF(A449="","",DATE(YEAR(A449),MONTH(A449),1))</f>
        <v/>
      </c>
      <c r="M449" s="26">
        <f>IF(AND(E449="",F449=""),"",N(E449)-N(F449))</f>
        <v/>
      </c>
      <c r="N449" s="28" t="n"/>
    </row>
    <row r="450">
      <c r="A450" s="27" t="n"/>
      <c r="B450" s="28" t="n"/>
      <c r="C450" s="28" t="n"/>
      <c r="D450" s="28" t="n"/>
      <c r="E450" s="29" t="n"/>
      <c r="F450" s="29" t="n"/>
      <c r="G450" s="28" t="n"/>
      <c r="H450" s="28" t="n"/>
      <c r="I450" s="28" t="n"/>
      <c r="J450" s="28" t="n"/>
      <c r="K450" s="24">
        <f>IF(D450="","",IFERROR(INDEX(Setup!$B$24:$B$59,MATCH(D450,Setup!$A$24:$A$59,0)),"Check category"))</f>
        <v/>
      </c>
      <c r="L450" s="25">
        <f>IF(A450="","",DATE(YEAR(A450),MONTH(A450),1))</f>
        <v/>
      </c>
      <c r="M450" s="26">
        <f>IF(AND(E450="",F450=""),"",N(E450)-N(F450))</f>
        <v/>
      </c>
      <c r="N450" s="28" t="n"/>
    </row>
    <row r="451">
      <c r="A451" s="27" t="n"/>
      <c r="B451" s="28" t="n"/>
      <c r="C451" s="28" t="n"/>
      <c r="D451" s="28" t="n"/>
      <c r="E451" s="29" t="n"/>
      <c r="F451" s="29" t="n"/>
      <c r="G451" s="28" t="n"/>
      <c r="H451" s="28" t="n"/>
      <c r="I451" s="28" t="n"/>
      <c r="J451" s="28" t="n"/>
      <c r="K451" s="24">
        <f>IF(D451="","",IFERROR(INDEX(Setup!$B$24:$B$59,MATCH(D451,Setup!$A$24:$A$59,0)),"Check category"))</f>
        <v/>
      </c>
      <c r="L451" s="25">
        <f>IF(A451="","",DATE(YEAR(A451),MONTH(A451),1))</f>
        <v/>
      </c>
      <c r="M451" s="26">
        <f>IF(AND(E451="",F451=""),"",N(E451)-N(F451))</f>
        <v/>
      </c>
      <c r="N451" s="28" t="n"/>
    </row>
    <row r="452">
      <c r="A452" s="27" t="n"/>
      <c r="B452" s="28" t="n"/>
      <c r="C452" s="28" t="n"/>
      <c r="D452" s="28" t="n"/>
      <c r="E452" s="29" t="n"/>
      <c r="F452" s="29" t="n"/>
      <c r="G452" s="28" t="n"/>
      <c r="H452" s="28" t="n"/>
      <c r="I452" s="28" t="n"/>
      <c r="J452" s="28" t="n"/>
      <c r="K452" s="24">
        <f>IF(D452="","",IFERROR(INDEX(Setup!$B$24:$B$59,MATCH(D452,Setup!$A$24:$A$59,0)),"Check category"))</f>
        <v/>
      </c>
      <c r="L452" s="25">
        <f>IF(A452="","",DATE(YEAR(A452),MONTH(A452),1))</f>
        <v/>
      </c>
      <c r="M452" s="26">
        <f>IF(AND(E452="",F452=""),"",N(E452)-N(F452))</f>
        <v/>
      </c>
      <c r="N452" s="28" t="n"/>
    </row>
    <row r="453">
      <c r="A453" s="27" t="n"/>
      <c r="B453" s="28" t="n"/>
      <c r="C453" s="28" t="n"/>
      <c r="D453" s="28" t="n"/>
      <c r="E453" s="29" t="n"/>
      <c r="F453" s="29" t="n"/>
      <c r="G453" s="28" t="n"/>
      <c r="H453" s="28" t="n"/>
      <c r="I453" s="28" t="n"/>
      <c r="J453" s="28" t="n"/>
      <c r="K453" s="24">
        <f>IF(D453="","",IFERROR(INDEX(Setup!$B$24:$B$59,MATCH(D453,Setup!$A$24:$A$59,0)),"Check category"))</f>
        <v/>
      </c>
      <c r="L453" s="25">
        <f>IF(A453="","",DATE(YEAR(A453),MONTH(A453),1))</f>
        <v/>
      </c>
      <c r="M453" s="26">
        <f>IF(AND(E453="",F453=""),"",N(E453)-N(F453))</f>
        <v/>
      </c>
      <c r="N453" s="28" t="n"/>
    </row>
    <row r="454">
      <c r="A454" s="27" t="n"/>
      <c r="B454" s="28" t="n"/>
      <c r="C454" s="28" t="n"/>
      <c r="D454" s="28" t="n"/>
      <c r="E454" s="29" t="n"/>
      <c r="F454" s="29" t="n"/>
      <c r="G454" s="28" t="n"/>
      <c r="H454" s="28" t="n"/>
      <c r="I454" s="28" t="n"/>
      <c r="J454" s="28" t="n"/>
      <c r="K454" s="24">
        <f>IF(D454="","",IFERROR(INDEX(Setup!$B$24:$B$59,MATCH(D454,Setup!$A$24:$A$59,0)),"Check category"))</f>
        <v/>
      </c>
      <c r="L454" s="25">
        <f>IF(A454="","",DATE(YEAR(A454),MONTH(A454),1))</f>
        <v/>
      </c>
      <c r="M454" s="26">
        <f>IF(AND(E454="",F454=""),"",N(E454)-N(F454))</f>
        <v/>
      </c>
      <c r="N454" s="28" t="n"/>
    </row>
    <row r="455">
      <c r="A455" s="27" t="n"/>
      <c r="B455" s="28" t="n"/>
      <c r="C455" s="28" t="n"/>
      <c r="D455" s="28" t="n"/>
      <c r="E455" s="29" t="n"/>
      <c r="F455" s="29" t="n"/>
      <c r="G455" s="28" t="n"/>
      <c r="H455" s="28" t="n"/>
      <c r="I455" s="28" t="n"/>
      <c r="J455" s="28" t="n"/>
      <c r="K455" s="24">
        <f>IF(D455="","",IFERROR(INDEX(Setup!$B$24:$B$59,MATCH(D455,Setup!$A$24:$A$59,0)),"Check category"))</f>
        <v/>
      </c>
      <c r="L455" s="25">
        <f>IF(A455="","",DATE(YEAR(A455),MONTH(A455),1))</f>
        <v/>
      </c>
      <c r="M455" s="26">
        <f>IF(AND(E455="",F455=""),"",N(E455)-N(F455))</f>
        <v/>
      </c>
      <c r="N455" s="28" t="n"/>
    </row>
    <row r="456">
      <c r="A456" s="27" t="n"/>
      <c r="B456" s="28" t="n"/>
      <c r="C456" s="28" t="n"/>
      <c r="D456" s="28" t="n"/>
      <c r="E456" s="29" t="n"/>
      <c r="F456" s="29" t="n"/>
      <c r="G456" s="28" t="n"/>
      <c r="H456" s="28" t="n"/>
      <c r="I456" s="28" t="n"/>
      <c r="J456" s="28" t="n"/>
      <c r="K456" s="24">
        <f>IF(D456="","",IFERROR(INDEX(Setup!$B$24:$B$59,MATCH(D456,Setup!$A$24:$A$59,0)),"Check category"))</f>
        <v/>
      </c>
      <c r="L456" s="25">
        <f>IF(A456="","",DATE(YEAR(A456),MONTH(A456),1))</f>
        <v/>
      </c>
      <c r="M456" s="26">
        <f>IF(AND(E456="",F456=""),"",N(E456)-N(F456))</f>
        <v/>
      </c>
      <c r="N456" s="28" t="n"/>
    </row>
    <row r="457">
      <c r="A457" s="27" t="n"/>
      <c r="B457" s="28" t="n"/>
      <c r="C457" s="28" t="n"/>
      <c r="D457" s="28" t="n"/>
      <c r="E457" s="29" t="n"/>
      <c r="F457" s="29" t="n"/>
      <c r="G457" s="28" t="n"/>
      <c r="H457" s="28" t="n"/>
      <c r="I457" s="28" t="n"/>
      <c r="J457" s="28" t="n"/>
      <c r="K457" s="24">
        <f>IF(D457="","",IFERROR(INDEX(Setup!$B$24:$B$59,MATCH(D457,Setup!$A$24:$A$59,0)),"Check category"))</f>
        <v/>
      </c>
      <c r="L457" s="25">
        <f>IF(A457="","",DATE(YEAR(A457),MONTH(A457),1))</f>
        <v/>
      </c>
      <c r="M457" s="26">
        <f>IF(AND(E457="",F457=""),"",N(E457)-N(F457))</f>
        <v/>
      </c>
      <c r="N457" s="28" t="n"/>
    </row>
    <row r="458">
      <c r="A458" s="27" t="n"/>
      <c r="B458" s="28" t="n"/>
      <c r="C458" s="28" t="n"/>
      <c r="D458" s="28" t="n"/>
      <c r="E458" s="29" t="n"/>
      <c r="F458" s="29" t="n"/>
      <c r="G458" s="28" t="n"/>
      <c r="H458" s="28" t="n"/>
      <c r="I458" s="28" t="n"/>
      <c r="J458" s="28" t="n"/>
      <c r="K458" s="24">
        <f>IF(D458="","",IFERROR(INDEX(Setup!$B$24:$B$59,MATCH(D458,Setup!$A$24:$A$59,0)),"Check category"))</f>
        <v/>
      </c>
      <c r="L458" s="25">
        <f>IF(A458="","",DATE(YEAR(A458),MONTH(A458),1))</f>
        <v/>
      </c>
      <c r="M458" s="26">
        <f>IF(AND(E458="",F458=""),"",N(E458)-N(F458))</f>
        <v/>
      </c>
      <c r="N458" s="28" t="n"/>
    </row>
    <row r="459">
      <c r="A459" s="27" t="n"/>
      <c r="B459" s="28" t="n"/>
      <c r="C459" s="28" t="n"/>
      <c r="D459" s="28" t="n"/>
      <c r="E459" s="29" t="n"/>
      <c r="F459" s="29" t="n"/>
      <c r="G459" s="28" t="n"/>
      <c r="H459" s="28" t="n"/>
      <c r="I459" s="28" t="n"/>
      <c r="J459" s="28" t="n"/>
      <c r="K459" s="24">
        <f>IF(D459="","",IFERROR(INDEX(Setup!$B$24:$B$59,MATCH(D459,Setup!$A$24:$A$59,0)),"Check category"))</f>
        <v/>
      </c>
      <c r="L459" s="25">
        <f>IF(A459="","",DATE(YEAR(A459),MONTH(A459),1))</f>
        <v/>
      </c>
      <c r="M459" s="26">
        <f>IF(AND(E459="",F459=""),"",N(E459)-N(F459))</f>
        <v/>
      </c>
      <c r="N459" s="28" t="n"/>
    </row>
    <row r="460">
      <c r="A460" s="27" t="n"/>
      <c r="B460" s="28" t="n"/>
      <c r="C460" s="28" t="n"/>
      <c r="D460" s="28" t="n"/>
      <c r="E460" s="29" t="n"/>
      <c r="F460" s="29" t="n"/>
      <c r="G460" s="28" t="n"/>
      <c r="H460" s="28" t="n"/>
      <c r="I460" s="28" t="n"/>
      <c r="J460" s="28" t="n"/>
      <c r="K460" s="24">
        <f>IF(D460="","",IFERROR(INDEX(Setup!$B$24:$B$59,MATCH(D460,Setup!$A$24:$A$59,0)),"Check category"))</f>
        <v/>
      </c>
      <c r="L460" s="25">
        <f>IF(A460="","",DATE(YEAR(A460),MONTH(A460),1))</f>
        <v/>
      </c>
      <c r="M460" s="26">
        <f>IF(AND(E460="",F460=""),"",N(E460)-N(F460))</f>
        <v/>
      </c>
      <c r="N460" s="28" t="n"/>
    </row>
    <row r="461">
      <c r="A461" s="27" t="n"/>
      <c r="B461" s="28" t="n"/>
      <c r="C461" s="28" t="n"/>
      <c r="D461" s="28" t="n"/>
      <c r="E461" s="29" t="n"/>
      <c r="F461" s="29" t="n"/>
      <c r="G461" s="28" t="n"/>
      <c r="H461" s="28" t="n"/>
      <c r="I461" s="28" t="n"/>
      <c r="J461" s="28" t="n"/>
      <c r="K461" s="24">
        <f>IF(D461="","",IFERROR(INDEX(Setup!$B$24:$B$59,MATCH(D461,Setup!$A$24:$A$59,0)),"Check category"))</f>
        <v/>
      </c>
      <c r="L461" s="25">
        <f>IF(A461="","",DATE(YEAR(A461),MONTH(A461),1))</f>
        <v/>
      </c>
      <c r="M461" s="26">
        <f>IF(AND(E461="",F461=""),"",N(E461)-N(F461))</f>
        <v/>
      </c>
      <c r="N461" s="28" t="n"/>
    </row>
    <row r="462">
      <c r="A462" s="27" t="n"/>
      <c r="B462" s="28" t="n"/>
      <c r="C462" s="28" t="n"/>
      <c r="D462" s="28" t="n"/>
      <c r="E462" s="29" t="n"/>
      <c r="F462" s="29" t="n"/>
      <c r="G462" s="28" t="n"/>
      <c r="H462" s="28" t="n"/>
      <c r="I462" s="28" t="n"/>
      <c r="J462" s="28" t="n"/>
      <c r="K462" s="24">
        <f>IF(D462="","",IFERROR(INDEX(Setup!$B$24:$B$59,MATCH(D462,Setup!$A$24:$A$59,0)),"Check category"))</f>
        <v/>
      </c>
      <c r="L462" s="25">
        <f>IF(A462="","",DATE(YEAR(A462),MONTH(A462),1))</f>
        <v/>
      </c>
      <c r="M462" s="26">
        <f>IF(AND(E462="",F462=""),"",N(E462)-N(F462))</f>
        <v/>
      </c>
      <c r="N462" s="28" t="n"/>
    </row>
    <row r="463">
      <c r="A463" s="27" t="n"/>
      <c r="B463" s="28" t="n"/>
      <c r="C463" s="28" t="n"/>
      <c r="D463" s="28" t="n"/>
      <c r="E463" s="29" t="n"/>
      <c r="F463" s="29" t="n"/>
      <c r="G463" s="28" t="n"/>
      <c r="H463" s="28" t="n"/>
      <c r="I463" s="28" t="n"/>
      <c r="J463" s="28" t="n"/>
      <c r="K463" s="24">
        <f>IF(D463="","",IFERROR(INDEX(Setup!$B$24:$B$59,MATCH(D463,Setup!$A$24:$A$59,0)),"Check category"))</f>
        <v/>
      </c>
      <c r="L463" s="25">
        <f>IF(A463="","",DATE(YEAR(A463),MONTH(A463),1))</f>
        <v/>
      </c>
      <c r="M463" s="26">
        <f>IF(AND(E463="",F463=""),"",N(E463)-N(F463))</f>
        <v/>
      </c>
      <c r="N463" s="28" t="n"/>
    </row>
    <row r="464">
      <c r="A464" s="27" t="n"/>
      <c r="B464" s="28" t="n"/>
      <c r="C464" s="28" t="n"/>
      <c r="D464" s="28" t="n"/>
      <c r="E464" s="29" t="n"/>
      <c r="F464" s="29" t="n"/>
      <c r="G464" s="28" t="n"/>
      <c r="H464" s="28" t="n"/>
      <c r="I464" s="28" t="n"/>
      <c r="J464" s="28" t="n"/>
      <c r="K464" s="24">
        <f>IF(D464="","",IFERROR(INDEX(Setup!$B$24:$B$59,MATCH(D464,Setup!$A$24:$A$59,0)),"Check category"))</f>
        <v/>
      </c>
      <c r="L464" s="25">
        <f>IF(A464="","",DATE(YEAR(A464),MONTH(A464),1))</f>
        <v/>
      </c>
      <c r="M464" s="26">
        <f>IF(AND(E464="",F464=""),"",N(E464)-N(F464))</f>
        <v/>
      </c>
      <c r="N464" s="28" t="n"/>
    </row>
    <row r="465">
      <c r="A465" s="27" t="n"/>
      <c r="B465" s="28" t="n"/>
      <c r="C465" s="28" t="n"/>
      <c r="D465" s="28" t="n"/>
      <c r="E465" s="29" t="n"/>
      <c r="F465" s="29" t="n"/>
      <c r="G465" s="28" t="n"/>
      <c r="H465" s="28" t="n"/>
      <c r="I465" s="28" t="n"/>
      <c r="J465" s="28" t="n"/>
      <c r="K465" s="24">
        <f>IF(D465="","",IFERROR(INDEX(Setup!$B$24:$B$59,MATCH(D465,Setup!$A$24:$A$59,0)),"Check category"))</f>
        <v/>
      </c>
      <c r="L465" s="25">
        <f>IF(A465="","",DATE(YEAR(A465),MONTH(A465),1))</f>
        <v/>
      </c>
      <c r="M465" s="26">
        <f>IF(AND(E465="",F465=""),"",N(E465)-N(F465))</f>
        <v/>
      </c>
      <c r="N465" s="28" t="n"/>
    </row>
    <row r="466">
      <c r="A466" s="27" t="n"/>
      <c r="B466" s="28" t="n"/>
      <c r="C466" s="28" t="n"/>
      <c r="D466" s="28" t="n"/>
      <c r="E466" s="29" t="n"/>
      <c r="F466" s="29" t="n"/>
      <c r="G466" s="28" t="n"/>
      <c r="H466" s="28" t="n"/>
      <c r="I466" s="28" t="n"/>
      <c r="J466" s="28" t="n"/>
      <c r="K466" s="24">
        <f>IF(D466="","",IFERROR(INDEX(Setup!$B$24:$B$59,MATCH(D466,Setup!$A$24:$A$59,0)),"Check category"))</f>
        <v/>
      </c>
      <c r="L466" s="25">
        <f>IF(A466="","",DATE(YEAR(A466),MONTH(A466),1))</f>
        <v/>
      </c>
      <c r="M466" s="26">
        <f>IF(AND(E466="",F466=""),"",N(E466)-N(F466))</f>
        <v/>
      </c>
      <c r="N466" s="28" t="n"/>
    </row>
    <row r="467">
      <c r="A467" s="27" t="n"/>
      <c r="B467" s="28" t="n"/>
      <c r="C467" s="28" t="n"/>
      <c r="D467" s="28" t="n"/>
      <c r="E467" s="29" t="n"/>
      <c r="F467" s="29" t="n"/>
      <c r="G467" s="28" t="n"/>
      <c r="H467" s="28" t="n"/>
      <c r="I467" s="28" t="n"/>
      <c r="J467" s="28" t="n"/>
      <c r="K467" s="24">
        <f>IF(D467="","",IFERROR(INDEX(Setup!$B$24:$B$59,MATCH(D467,Setup!$A$24:$A$59,0)),"Check category"))</f>
        <v/>
      </c>
      <c r="L467" s="25">
        <f>IF(A467="","",DATE(YEAR(A467),MONTH(A467),1))</f>
        <v/>
      </c>
      <c r="M467" s="26">
        <f>IF(AND(E467="",F467=""),"",N(E467)-N(F467))</f>
        <v/>
      </c>
      <c r="N467" s="28" t="n"/>
    </row>
    <row r="468">
      <c r="A468" s="27" t="n"/>
      <c r="B468" s="28" t="n"/>
      <c r="C468" s="28" t="n"/>
      <c r="D468" s="28" t="n"/>
      <c r="E468" s="29" t="n"/>
      <c r="F468" s="29" t="n"/>
      <c r="G468" s="28" t="n"/>
      <c r="H468" s="28" t="n"/>
      <c r="I468" s="28" t="n"/>
      <c r="J468" s="28" t="n"/>
      <c r="K468" s="24">
        <f>IF(D468="","",IFERROR(INDEX(Setup!$B$24:$B$59,MATCH(D468,Setup!$A$24:$A$59,0)),"Check category"))</f>
        <v/>
      </c>
      <c r="L468" s="25">
        <f>IF(A468="","",DATE(YEAR(A468),MONTH(A468),1))</f>
        <v/>
      </c>
      <c r="M468" s="26">
        <f>IF(AND(E468="",F468=""),"",N(E468)-N(F468))</f>
        <v/>
      </c>
      <c r="N468" s="28" t="n"/>
    </row>
    <row r="469">
      <c r="A469" s="27" t="n"/>
      <c r="B469" s="28" t="n"/>
      <c r="C469" s="28" t="n"/>
      <c r="D469" s="28" t="n"/>
      <c r="E469" s="29" t="n"/>
      <c r="F469" s="29" t="n"/>
      <c r="G469" s="28" t="n"/>
      <c r="H469" s="28" t="n"/>
      <c r="I469" s="28" t="n"/>
      <c r="J469" s="28" t="n"/>
      <c r="K469" s="24">
        <f>IF(D469="","",IFERROR(INDEX(Setup!$B$24:$B$59,MATCH(D469,Setup!$A$24:$A$59,0)),"Check category"))</f>
        <v/>
      </c>
      <c r="L469" s="25">
        <f>IF(A469="","",DATE(YEAR(A469),MONTH(A469),1))</f>
        <v/>
      </c>
      <c r="M469" s="26">
        <f>IF(AND(E469="",F469=""),"",N(E469)-N(F469))</f>
        <v/>
      </c>
      <c r="N469" s="28" t="n"/>
    </row>
    <row r="470">
      <c r="A470" s="27" t="n"/>
      <c r="B470" s="28" t="n"/>
      <c r="C470" s="28" t="n"/>
      <c r="D470" s="28" t="n"/>
      <c r="E470" s="29" t="n"/>
      <c r="F470" s="29" t="n"/>
      <c r="G470" s="28" t="n"/>
      <c r="H470" s="28" t="n"/>
      <c r="I470" s="28" t="n"/>
      <c r="J470" s="28" t="n"/>
      <c r="K470" s="24">
        <f>IF(D470="","",IFERROR(INDEX(Setup!$B$24:$B$59,MATCH(D470,Setup!$A$24:$A$59,0)),"Check category"))</f>
        <v/>
      </c>
      <c r="L470" s="25">
        <f>IF(A470="","",DATE(YEAR(A470),MONTH(A470),1))</f>
        <v/>
      </c>
      <c r="M470" s="26">
        <f>IF(AND(E470="",F470=""),"",N(E470)-N(F470))</f>
        <v/>
      </c>
      <c r="N470" s="28" t="n"/>
    </row>
    <row r="471">
      <c r="A471" s="27" t="n"/>
      <c r="B471" s="28" t="n"/>
      <c r="C471" s="28" t="n"/>
      <c r="D471" s="28" t="n"/>
      <c r="E471" s="29" t="n"/>
      <c r="F471" s="29" t="n"/>
      <c r="G471" s="28" t="n"/>
      <c r="H471" s="28" t="n"/>
      <c r="I471" s="28" t="n"/>
      <c r="J471" s="28" t="n"/>
      <c r="K471" s="24">
        <f>IF(D471="","",IFERROR(INDEX(Setup!$B$24:$B$59,MATCH(D471,Setup!$A$24:$A$59,0)),"Check category"))</f>
        <v/>
      </c>
      <c r="L471" s="25">
        <f>IF(A471="","",DATE(YEAR(A471),MONTH(A471),1))</f>
        <v/>
      </c>
      <c r="M471" s="26">
        <f>IF(AND(E471="",F471=""),"",N(E471)-N(F471))</f>
        <v/>
      </c>
      <c r="N471" s="28" t="n"/>
    </row>
    <row r="472">
      <c r="A472" s="27" t="n"/>
      <c r="B472" s="28" t="n"/>
      <c r="C472" s="28" t="n"/>
      <c r="D472" s="28" t="n"/>
      <c r="E472" s="29" t="n"/>
      <c r="F472" s="29" t="n"/>
      <c r="G472" s="28" t="n"/>
      <c r="H472" s="28" t="n"/>
      <c r="I472" s="28" t="n"/>
      <c r="J472" s="28" t="n"/>
      <c r="K472" s="24">
        <f>IF(D472="","",IFERROR(INDEX(Setup!$B$24:$B$59,MATCH(D472,Setup!$A$24:$A$59,0)),"Check category"))</f>
        <v/>
      </c>
      <c r="L472" s="25">
        <f>IF(A472="","",DATE(YEAR(A472),MONTH(A472),1))</f>
        <v/>
      </c>
      <c r="M472" s="26">
        <f>IF(AND(E472="",F472=""),"",N(E472)-N(F472))</f>
        <v/>
      </c>
      <c r="N472" s="28" t="n"/>
    </row>
    <row r="473">
      <c r="A473" s="27" t="n"/>
      <c r="B473" s="28" t="n"/>
      <c r="C473" s="28" t="n"/>
      <c r="D473" s="28" t="n"/>
      <c r="E473" s="29" t="n"/>
      <c r="F473" s="29" t="n"/>
      <c r="G473" s="28" t="n"/>
      <c r="H473" s="28" t="n"/>
      <c r="I473" s="28" t="n"/>
      <c r="J473" s="28" t="n"/>
      <c r="K473" s="24">
        <f>IF(D473="","",IFERROR(INDEX(Setup!$B$24:$B$59,MATCH(D473,Setup!$A$24:$A$59,0)),"Check category"))</f>
        <v/>
      </c>
      <c r="L473" s="25">
        <f>IF(A473="","",DATE(YEAR(A473),MONTH(A473),1))</f>
        <v/>
      </c>
      <c r="M473" s="26">
        <f>IF(AND(E473="",F473=""),"",N(E473)-N(F473))</f>
        <v/>
      </c>
      <c r="N473" s="28" t="n"/>
    </row>
    <row r="474">
      <c r="A474" s="27" t="n"/>
      <c r="B474" s="28" t="n"/>
      <c r="C474" s="28" t="n"/>
      <c r="D474" s="28" t="n"/>
      <c r="E474" s="29" t="n"/>
      <c r="F474" s="29" t="n"/>
      <c r="G474" s="28" t="n"/>
      <c r="H474" s="28" t="n"/>
      <c r="I474" s="28" t="n"/>
      <c r="J474" s="28" t="n"/>
      <c r="K474" s="24">
        <f>IF(D474="","",IFERROR(INDEX(Setup!$B$24:$B$59,MATCH(D474,Setup!$A$24:$A$59,0)),"Check category"))</f>
        <v/>
      </c>
      <c r="L474" s="25">
        <f>IF(A474="","",DATE(YEAR(A474),MONTH(A474),1))</f>
        <v/>
      </c>
      <c r="M474" s="26">
        <f>IF(AND(E474="",F474=""),"",N(E474)-N(F474))</f>
        <v/>
      </c>
      <c r="N474" s="28" t="n"/>
    </row>
    <row r="475">
      <c r="A475" s="27" t="n"/>
      <c r="B475" s="28" t="n"/>
      <c r="C475" s="28" t="n"/>
      <c r="D475" s="28" t="n"/>
      <c r="E475" s="29" t="n"/>
      <c r="F475" s="29" t="n"/>
      <c r="G475" s="28" t="n"/>
      <c r="H475" s="28" t="n"/>
      <c r="I475" s="28" t="n"/>
      <c r="J475" s="28" t="n"/>
      <c r="K475" s="24">
        <f>IF(D475="","",IFERROR(INDEX(Setup!$B$24:$B$59,MATCH(D475,Setup!$A$24:$A$59,0)),"Check category"))</f>
        <v/>
      </c>
      <c r="L475" s="25">
        <f>IF(A475="","",DATE(YEAR(A475),MONTH(A475),1))</f>
        <v/>
      </c>
      <c r="M475" s="26">
        <f>IF(AND(E475="",F475=""),"",N(E475)-N(F475))</f>
        <v/>
      </c>
      <c r="N475" s="28" t="n"/>
    </row>
    <row r="476">
      <c r="A476" s="27" t="n"/>
      <c r="B476" s="28" t="n"/>
      <c r="C476" s="28" t="n"/>
      <c r="D476" s="28" t="n"/>
      <c r="E476" s="29" t="n"/>
      <c r="F476" s="29" t="n"/>
      <c r="G476" s="28" t="n"/>
      <c r="H476" s="28" t="n"/>
      <c r="I476" s="28" t="n"/>
      <c r="J476" s="28" t="n"/>
      <c r="K476" s="24">
        <f>IF(D476="","",IFERROR(INDEX(Setup!$B$24:$B$59,MATCH(D476,Setup!$A$24:$A$59,0)),"Check category"))</f>
        <v/>
      </c>
      <c r="L476" s="25">
        <f>IF(A476="","",DATE(YEAR(A476),MONTH(A476),1))</f>
        <v/>
      </c>
      <c r="M476" s="26">
        <f>IF(AND(E476="",F476=""),"",N(E476)-N(F476))</f>
        <v/>
      </c>
      <c r="N476" s="28" t="n"/>
    </row>
    <row r="477">
      <c r="A477" s="27" t="n"/>
      <c r="B477" s="28" t="n"/>
      <c r="C477" s="28" t="n"/>
      <c r="D477" s="28" t="n"/>
      <c r="E477" s="29" t="n"/>
      <c r="F477" s="29" t="n"/>
      <c r="G477" s="28" t="n"/>
      <c r="H477" s="28" t="n"/>
      <c r="I477" s="28" t="n"/>
      <c r="J477" s="28" t="n"/>
      <c r="K477" s="24">
        <f>IF(D477="","",IFERROR(INDEX(Setup!$B$24:$B$59,MATCH(D477,Setup!$A$24:$A$59,0)),"Check category"))</f>
        <v/>
      </c>
      <c r="L477" s="25">
        <f>IF(A477="","",DATE(YEAR(A477),MONTH(A477),1))</f>
        <v/>
      </c>
      <c r="M477" s="26">
        <f>IF(AND(E477="",F477=""),"",N(E477)-N(F477))</f>
        <v/>
      </c>
      <c r="N477" s="28" t="n"/>
    </row>
    <row r="478">
      <c r="A478" s="27" t="n"/>
      <c r="B478" s="28" t="n"/>
      <c r="C478" s="28" t="n"/>
      <c r="D478" s="28" t="n"/>
      <c r="E478" s="29" t="n"/>
      <c r="F478" s="29" t="n"/>
      <c r="G478" s="28" t="n"/>
      <c r="H478" s="28" t="n"/>
      <c r="I478" s="28" t="n"/>
      <c r="J478" s="28" t="n"/>
      <c r="K478" s="24">
        <f>IF(D478="","",IFERROR(INDEX(Setup!$B$24:$B$59,MATCH(D478,Setup!$A$24:$A$59,0)),"Check category"))</f>
        <v/>
      </c>
      <c r="L478" s="25">
        <f>IF(A478="","",DATE(YEAR(A478),MONTH(A478),1))</f>
        <v/>
      </c>
      <c r="M478" s="26">
        <f>IF(AND(E478="",F478=""),"",N(E478)-N(F478))</f>
        <v/>
      </c>
      <c r="N478" s="28" t="n"/>
    </row>
    <row r="479">
      <c r="A479" s="27" t="n"/>
      <c r="B479" s="28" t="n"/>
      <c r="C479" s="28" t="n"/>
      <c r="D479" s="28" t="n"/>
      <c r="E479" s="29" t="n"/>
      <c r="F479" s="29" t="n"/>
      <c r="G479" s="28" t="n"/>
      <c r="H479" s="28" t="n"/>
      <c r="I479" s="28" t="n"/>
      <c r="J479" s="28" t="n"/>
      <c r="K479" s="24">
        <f>IF(D479="","",IFERROR(INDEX(Setup!$B$24:$B$59,MATCH(D479,Setup!$A$24:$A$59,0)),"Check category"))</f>
        <v/>
      </c>
      <c r="L479" s="25">
        <f>IF(A479="","",DATE(YEAR(A479),MONTH(A479),1))</f>
        <v/>
      </c>
      <c r="M479" s="26">
        <f>IF(AND(E479="",F479=""),"",N(E479)-N(F479))</f>
        <v/>
      </c>
      <c r="N479" s="28" t="n"/>
    </row>
    <row r="480">
      <c r="A480" s="27" t="n"/>
      <c r="B480" s="28" t="n"/>
      <c r="C480" s="28" t="n"/>
      <c r="D480" s="28" t="n"/>
      <c r="E480" s="29" t="n"/>
      <c r="F480" s="29" t="n"/>
      <c r="G480" s="28" t="n"/>
      <c r="H480" s="28" t="n"/>
      <c r="I480" s="28" t="n"/>
      <c r="J480" s="28" t="n"/>
      <c r="K480" s="24">
        <f>IF(D480="","",IFERROR(INDEX(Setup!$B$24:$B$59,MATCH(D480,Setup!$A$24:$A$59,0)),"Check category"))</f>
        <v/>
      </c>
      <c r="L480" s="25">
        <f>IF(A480="","",DATE(YEAR(A480),MONTH(A480),1))</f>
        <v/>
      </c>
      <c r="M480" s="26">
        <f>IF(AND(E480="",F480=""),"",N(E480)-N(F480))</f>
        <v/>
      </c>
      <c r="N480" s="28" t="n"/>
    </row>
    <row r="481">
      <c r="A481" s="27" t="n"/>
      <c r="B481" s="28" t="n"/>
      <c r="C481" s="28" t="n"/>
      <c r="D481" s="28" t="n"/>
      <c r="E481" s="29" t="n"/>
      <c r="F481" s="29" t="n"/>
      <c r="G481" s="28" t="n"/>
      <c r="H481" s="28" t="n"/>
      <c r="I481" s="28" t="n"/>
      <c r="J481" s="28" t="n"/>
      <c r="K481" s="24">
        <f>IF(D481="","",IFERROR(INDEX(Setup!$B$24:$B$59,MATCH(D481,Setup!$A$24:$A$59,0)),"Check category"))</f>
        <v/>
      </c>
      <c r="L481" s="25">
        <f>IF(A481="","",DATE(YEAR(A481),MONTH(A481),1))</f>
        <v/>
      </c>
      <c r="M481" s="26">
        <f>IF(AND(E481="",F481=""),"",N(E481)-N(F481))</f>
        <v/>
      </c>
      <c r="N481" s="28" t="n"/>
    </row>
    <row r="482">
      <c r="A482" s="27" t="n"/>
      <c r="B482" s="28" t="n"/>
      <c r="C482" s="28" t="n"/>
      <c r="D482" s="28" t="n"/>
      <c r="E482" s="29" t="n"/>
      <c r="F482" s="29" t="n"/>
      <c r="G482" s="28" t="n"/>
      <c r="H482" s="28" t="n"/>
      <c r="I482" s="28" t="n"/>
      <c r="J482" s="28" t="n"/>
      <c r="K482" s="24">
        <f>IF(D482="","",IFERROR(INDEX(Setup!$B$24:$B$59,MATCH(D482,Setup!$A$24:$A$59,0)),"Check category"))</f>
        <v/>
      </c>
      <c r="L482" s="25">
        <f>IF(A482="","",DATE(YEAR(A482),MONTH(A482),1))</f>
        <v/>
      </c>
      <c r="M482" s="26">
        <f>IF(AND(E482="",F482=""),"",N(E482)-N(F482))</f>
        <v/>
      </c>
      <c r="N482" s="28" t="n"/>
    </row>
    <row r="483">
      <c r="A483" s="27" t="n"/>
      <c r="B483" s="28" t="n"/>
      <c r="C483" s="28" t="n"/>
      <c r="D483" s="28" t="n"/>
      <c r="E483" s="29" t="n"/>
      <c r="F483" s="29" t="n"/>
      <c r="G483" s="28" t="n"/>
      <c r="H483" s="28" t="n"/>
      <c r="I483" s="28" t="n"/>
      <c r="J483" s="28" t="n"/>
      <c r="K483" s="24">
        <f>IF(D483="","",IFERROR(INDEX(Setup!$B$24:$B$59,MATCH(D483,Setup!$A$24:$A$59,0)),"Check category"))</f>
        <v/>
      </c>
      <c r="L483" s="25">
        <f>IF(A483="","",DATE(YEAR(A483),MONTH(A483),1))</f>
        <v/>
      </c>
      <c r="M483" s="26">
        <f>IF(AND(E483="",F483=""),"",N(E483)-N(F483))</f>
        <v/>
      </c>
      <c r="N483" s="28" t="n"/>
    </row>
    <row r="484">
      <c r="A484" s="27" t="n"/>
      <c r="B484" s="28" t="n"/>
      <c r="C484" s="28" t="n"/>
      <c r="D484" s="28" t="n"/>
      <c r="E484" s="29" t="n"/>
      <c r="F484" s="29" t="n"/>
      <c r="G484" s="28" t="n"/>
      <c r="H484" s="28" t="n"/>
      <c r="I484" s="28" t="n"/>
      <c r="J484" s="28" t="n"/>
      <c r="K484" s="24">
        <f>IF(D484="","",IFERROR(INDEX(Setup!$B$24:$B$59,MATCH(D484,Setup!$A$24:$A$59,0)),"Check category"))</f>
        <v/>
      </c>
      <c r="L484" s="25">
        <f>IF(A484="","",DATE(YEAR(A484),MONTH(A484),1))</f>
        <v/>
      </c>
      <c r="M484" s="26">
        <f>IF(AND(E484="",F484=""),"",N(E484)-N(F484))</f>
        <v/>
      </c>
      <c r="N484" s="28" t="n"/>
    </row>
    <row r="485">
      <c r="A485" s="27" t="n"/>
      <c r="B485" s="28" t="n"/>
      <c r="C485" s="28" t="n"/>
      <c r="D485" s="28" t="n"/>
      <c r="E485" s="29" t="n"/>
      <c r="F485" s="29" t="n"/>
      <c r="G485" s="28" t="n"/>
      <c r="H485" s="28" t="n"/>
      <c r="I485" s="28" t="n"/>
      <c r="J485" s="28" t="n"/>
      <c r="K485" s="24">
        <f>IF(D485="","",IFERROR(INDEX(Setup!$B$24:$B$59,MATCH(D485,Setup!$A$24:$A$59,0)),"Check category"))</f>
        <v/>
      </c>
      <c r="L485" s="25">
        <f>IF(A485="","",DATE(YEAR(A485),MONTH(A485),1))</f>
        <v/>
      </c>
      <c r="M485" s="26">
        <f>IF(AND(E485="",F485=""),"",N(E485)-N(F485))</f>
        <v/>
      </c>
      <c r="N485" s="28" t="n"/>
    </row>
    <row r="486">
      <c r="A486" s="27" t="n"/>
      <c r="B486" s="28" t="n"/>
      <c r="C486" s="28" t="n"/>
      <c r="D486" s="28" t="n"/>
      <c r="E486" s="29" t="n"/>
      <c r="F486" s="29" t="n"/>
      <c r="G486" s="28" t="n"/>
      <c r="H486" s="28" t="n"/>
      <c r="I486" s="28" t="n"/>
      <c r="J486" s="28" t="n"/>
      <c r="K486" s="24">
        <f>IF(D486="","",IFERROR(INDEX(Setup!$B$24:$B$59,MATCH(D486,Setup!$A$24:$A$59,0)),"Check category"))</f>
        <v/>
      </c>
      <c r="L486" s="25">
        <f>IF(A486="","",DATE(YEAR(A486),MONTH(A486),1))</f>
        <v/>
      </c>
      <c r="M486" s="26">
        <f>IF(AND(E486="",F486=""),"",N(E486)-N(F486))</f>
        <v/>
      </c>
      <c r="N486" s="28" t="n"/>
    </row>
    <row r="487">
      <c r="A487" s="27" t="n"/>
      <c r="B487" s="28" t="n"/>
      <c r="C487" s="28" t="n"/>
      <c r="D487" s="28" t="n"/>
      <c r="E487" s="29" t="n"/>
      <c r="F487" s="29" t="n"/>
      <c r="G487" s="28" t="n"/>
      <c r="H487" s="28" t="n"/>
      <c r="I487" s="28" t="n"/>
      <c r="J487" s="28" t="n"/>
      <c r="K487" s="24">
        <f>IF(D487="","",IFERROR(INDEX(Setup!$B$24:$B$59,MATCH(D487,Setup!$A$24:$A$59,0)),"Check category"))</f>
        <v/>
      </c>
      <c r="L487" s="25">
        <f>IF(A487="","",DATE(YEAR(A487),MONTH(A487),1))</f>
        <v/>
      </c>
      <c r="M487" s="26">
        <f>IF(AND(E487="",F487=""),"",N(E487)-N(F487))</f>
        <v/>
      </c>
      <c r="N487" s="28" t="n"/>
    </row>
    <row r="488">
      <c r="A488" s="27" t="n"/>
      <c r="B488" s="28" t="n"/>
      <c r="C488" s="28" t="n"/>
      <c r="D488" s="28" t="n"/>
      <c r="E488" s="29" t="n"/>
      <c r="F488" s="29" t="n"/>
      <c r="G488" s="28" t="n"/>
      <c r="H488" s="28" t="n"/>
      <c r="I488" s="28" t="n"/>
      <c r="J488" s="28" t="n"/>
      <c r="K488" s="24">
        <f>IF(D488="","",IFERROR(INDEX(Setup!$B$24:$B$59,MATCH(D488,Setup!$A$24:$A$59,0)),"Check category"))</f>
        <v/>
      </c>
      <c r="L488" s="25">
        <f>IF(A488="","",DATE(YEAR(A488),MONTH(A488),1))</f>
        <v/>
      </c>
      <c r="M488" s="26">
        <f>IF(AND(E488="",F488=""),"",N(E488)-N(F488))</f>
        <v/>
      </c>
      <c r="N488" s="28" t="n"/>
    </row>
    <row r="489">
      <c r="A489" s="27" t="n"/>
      <c r="B489" s="28" t="n"/>
      <c r="C489" s="28" t="n"/>
      <c r="D489" s="28" t="n"/>
      <c r="E489" s="29" t="n"/>
      <c r="F489" s="29" t="n"/>
      <c r="G489" s="28" t="n"/>
      <c r="H489" s="28" t="n"/>
      <c r="I489" s="28" t="n"/>
      <c r="J489" s="28" t="n"/>
      <c r="K489" s="24">
        <f>IF(D489="","",IFERROR(INDEX(Setup!$B$24:$B$59,MATCH(D489,Setup!$A$24:$A$59,0)),"Check category"))</f>
        <v/>
      </c>
      <c r="L489" s="25">
        <f>IF(A489="","",DATE(YEAR(A489),MONTH(A489),1))</f>
        <v/>
      </c>
      <c r="M489" s="26">
        <f>IF(AND(E489="",F489=""),"",N(E489)-N(F489))</f>
        <v/>
      </c>
      <c r="N489" s="28" t="n"/>
    </row>
    <row r="490">
      <c r="A490" s="27" t="n"/>
      <c r="B490" s="28" t="n"/>
      <c r="C490" s="28" t="n"/>
      <c r="D490" s="28" t="n"/>
      <c r="E490" s="29" t="n"/>
      <c r="F490" s="29" t="n"/>
      <c r="G490" s="28" t="n"/>
      <c r="H490" s="28" t="n"/>
      <c r="I490" s="28" t="n"/>
      <c r="J490" s="28" t="n"/>
      <c r="K490" s="24">
        <f>IF(D490="","",IFERROR(INDEX(Setup!$B$24:$B$59,MATCH(D490,Setup!$A$24:$A$59,0)),"Check category"))</f>
        <v/>
      </c>
      <c r="L490" s="25">
        <f>IF(A490="","",DATE(YEAR(A490),MONTH(A490),1))</f>
        <v/>
      </c>
      <c r="M490" s="26">
        <f>IF(AND(E490="",F490=""),"",N(E490)-N(F490))</f>
        <v/>
      </c>
      <c r="N490" s="28" t="n"/>
    </row>
    <row r="491">
      <c r="A491" s="27" t="n"/>
      <c r="B491" s="28" t="n"/>
      <c r="C491" s="28" t="n"/>
      <c r="D491" s="28" t="n"/>
      <c r="E491" s="29" t="n"/>
      <c r="F491" s="29" t="n"/>
      <c r="G491" s="28" t="n"/>
      <c r="H491" s="28" t="n"/>
      <c r="I491" s="28" t="n"/>
      <c r="J491" s="28" t="n"/>
      <c r="K491" s="24">
        <f>IF(D491="","",IFERROR(INDEX(Setup!$B$24:$B$59,MATCH(D491,Setup!$A$24:$A$59,0)),"Check category"))</f>
        <v/>
      </c>
      <c r="L491" s="25">
        <f>IF(A491="","",DATE(YEAR(A491),MONTH(A491),1))</f>
        <v/>
      </c>
      <c r="M491" s="26">
        <f>IF(AND(E491="",F491=""),"",N(E491)-N(F491))</f>
        <v/>
      </c>
      <c r="N491" s="28" t="n"/>
    </row>
    <row r="492">
      <c r="A492" s="27" t="n"/>
      <c r="B492" s="28" t="n"/>
      <c r="C492" s="28" t="n"/>
      <c r="D492" s="28" t="n"/>
      <c r="E492" s="29" t="n"/>
      <c r="F492" s="29" t="n"/>
      <c r="G492" s="28" t="n"/>
      <c r="H492" s="28" t="n"/>
      <c r="I492" s="28" t="n"/>
      <c r="J492" s="28" t="n"/>
      <c r="K492" s="24">
        <f>IF(D492="","",IFERROR(INDEX(Setup!$B$24:$B$59,MATCH(D492,Setup!$A$24:$A$59,0)),"Check category"))</f>
        <v/>
      </c>
      <c r="L492" s="25">
        <f>IF(A492="","",DATE(YEAR(A492),MONTH(A492),1))</f>
        <v/>
      </c>
      <c r="M492" s="26">
        <f>IF(AND(E492="",F492=""),"",N(E492)-N(F492))</f>
        <v/>
      </c>
      <c r="N492" s="28" t="n"/>
    </row>
    <row r="493">
      <c r="A493" s="27" t="n"/>
      <c r="B493" s="28" t="n"/>
      <c r="C493" s="28" t="n"/>
      <c r="D493" s="28" t="n"/>
      <c r="E493" s="29" t="n"/>
      <c r="F493" s="29" t="n"/>
      <c r="G493" s="28" t="n"/>
      <c r="H493" s="28" t="n"/>
      <c r="I493" s="28" t="n"/>
      <c r="J493" s="28" t="n"/>
      <c r="K493" s="24">
        <f>IF(D493="","",IFERROR(INDEX(Setup!$B$24:$B$59,MATCH(D493,Setup!$A$24:$A$59,0)),"Check category"))</f>
        <v/>
      </c>
      <c r="L493" s="25">
        <f>IF(A493="","",DATE(YEAR(A493),MONTH(A493),1))</f>
        <v/>
      </c>
      <c r="M493" s="26">
        <f>IF(AND(E493="",F493=""),"",N(E493)-N(F493))</f>
        <v/>
      </c>
      <c r="N493" s="28" t="n"/>
    </row>
    <row r="494">
      <c r="A494" s="27" t="n"/>
      <c r="B494" s="28" t="n"/>
      <c r="C494" s="28" t="n"/>
      <c r="D494" s="28" t="n"/>
      <c r="E494" s="29" t="n"/>
      <c r="F494" s="29" t="n"/>
      <c r="G494" s="28" t="n"/>
      <c r="H494" s="28" t="n"/>
      <c r="I494" s="28" t="n"/>
      <c r="J494" s="28" t="n"/>
      <c r="K494" s="24">
        <f>IF(D494="","",IFERROR(INDEX(Setup!$B$24:$B$59,MATCH(D494,Setup!$A$24:$A$59,0)),"Check category"))</f>
        <v/>
      </c>
      <c r="L494" s="25">
        <f>IF(A494="","",DATE(YEAR(A494),MONTH(A494),1))</f>
        <v/>
      </c>
      <c r="M494" s="26">
        <f>IF(AND(E494="",F494=""),"",N(E494)-N(F494))</f>
        <v/>
      </c>
      <c r="N494" s="28" t="n"/>
    </row>
    <row r="495">
      <c r="A495" s="27" t="n"/>
      <c r="B495" s="28" t="n"/>
      <c r="C495" s="28" t="n"/>
      <c r="D495" s="28" t="n"/>
      <c r="E495" s="29" t="n"/>
      <c r="F495" s="29" t="n"/>
      <c r="G495" s="28" t="n"/>
      <c r="H495" s="28" t="n"/>
      <c r="I495" s="28" t="n"/>
      <c r="J495" s="28" t="n"/>
      <c r="K495" s="24">
        <f>IF(D495="","",IFERROR(INDEX(Setup!$B$24:$B$59,MATCH(D495,Setup!$A$24:$A$59,0)),"Check category"))</f>
        <v/>
      </c>
      <c r="L495" s="25">
        <f>IF(A495="","",DATE(YEAR(A495),MONTH(A495),1))</f>
        <v/>
      </c>
      <c r="M495" s="26">
        <f>IF(AND(E495="",F495=""),"",N(E495)-N(F495))</f>
        <v/>
      </c>
      <c r="N495" s="28" t="n"/>
    </row>
    <row r="496">
      <c r="A496" s="27" t="n"/>
      <c r="B496" s="28" t="n"/>
      <c r="C496" s="28" t="n"/>
      <c r="D496" s="28" t="n"/>
      <c r="E496" s="29" t="n"/>
      <c r="F496" s="29" t="n"/>
      <c r="G496" s="28" t="n"/>
      <c r="H496" s="28" t="n"/>
      <c r="I496" s="28" t="n"/>
      <c r="J496" s="28" t="n"/>
      <c r="K496" s="24">
        <f>IF(D496="","",IFERROR(INDEX(Setup!$B$24:$B$59,MATCH(D496,Setup!$A$24:$A$59,0)),"Check category"))</f>
        <v/>
      </c>
      <c r="L496" s="25">
        <f>IF(A496="","",DATE(YEAR(A496),MONTH(A496),1))</f>
        <v/>
      </c>
      <c r="M496" s="26">
        <f>IF(AND(E496="",F496=""),"",N(E496)-N(F496))</f>
        <v/>
      </c>
      <c r="N496" s="28" t="n"/>
    </row>
    <row r="497">
      <c r="A497" s="27" t="n"/>
      <c r="B497" s="28" t="n"/>
      <c r="C497" s="28" t="n"/>
      <c r="D497" s="28" t="n"/>
      <c r="E497" s="29" t="n"/>
      <c r="F497" s="29" t="n"/>
      <c r="G497" s="28" t="n"/>
      <c r="H497" s="28" t="n"/>
      <c r="I497" s="28" t="n"/>
      <c r="J497" s="28" t="n"/>
      <c r="K497" s="24">
        <f>IF(D497="","",IFERROR(INDEX(Setup!$B$24:$B$59,MATCH(D497,Setup!$A$24:$A$59,0)),"Check category"))</f>
        <v/>
      </c>
      <c r="L497" s="25">
        <f>IF(A497="","",DATE(YEAR(A497),MONTH(A497),1))</f>
        <v/>
      </c>
      <c r="M497" s="26">
        <f>IF(AND(E497="",F497=""),"",N(E497)-N(F497))</f>
        <v/>
      </c>
      <c r="N497" s="28" t="n"/>
    </row>
    <row r="498">
      <c r="A498" s="27" t="n"/>
      <c r="B498" s="28" t="n"/>
      <c r="C498" s="28" t="n"/>
      <c r="D498" s="28" t="n"/>
      <c r="E498" s="29" t="n"/>
      <c r="F498" s="29" t="n"/>
      <c r="G498" s="28" t="n"/>
      <c r="H498" s="28" t="n"/>
      <c r="I498" s="28" t="n"/>
      <c r="J498" s="28" t="n"/>
      <c r="K498" s="24">
        <f>IF(D498="","",IFERROR(INDEX(Setup!$B$24:$B$59,MATCH(D498,Setup!$A$24:$A$59,0)),"Check category"))</f>
        <v/>
      </c>
      <c r="L498" s="25">
        <f>IF(A498="","",DATE(YEAR(A498),MONTH(A498),1))</f>
        <v/>
      </c>
      <c r="M498" s="26">
        <f>IF(AND(E498="",F498=""),"",N(E498)-N(F498))</f>
        <v/>
      </c>
      <c r="N498" s="28" t="n"/>
    </row>
    <row r="499">
      <c r="A499" s="27" t="n"/>
      <c r="B499" s="28" t="n"/>
      <c r="C499" s="28" t="n"/>
      <c r="D499" s="28" t="n"/>
      <c r="E499" s="29" t="n"/>
      <c r="F499" s="29" t="n"/>
      <c r="G499" s="28" t="n"/>
      <c r="H499" s="28" t="n"/>
      <c r="I499" s="28" t="n"/>
      <c r="J499" s="28" t="n"/>
      <c r="K499" s="24">
        <f>IF(D499="","",IFERROR(INDEX(Setup!$B$24:$B$59,MATCH(D499,Setup!$A$24:$A$59,0)),"Check category"))</f>
        <v/>
      </c>
      <c r="L499" s="25">
        <f>IF(A499="","",DATE(YEAR(A499),MONTH(A499),1))</f>
        <v/>
      </c>
      <c r="M499" s="26">
        <f>IF(AND(E499="",F499=""),"",N(E499)-N(F499))</f>
        <v/>
      </c>
      <c r="N499" s="28" t="n"/>
    </row>
    <row r="500">
      <c r="A500" s="27" t="n"/>
      <c r="B500" s="28" t="n"/>
      <c r="C500" s="28" t="n"/>
      <c r="D500" s="28" t="n"/>
      <c r="E500" s="29" t="n"/>
      <c r="F500" s="29" t="n"/>
      <c r="G500" s="28" t="n"/>
      <c r="H500" s="28" t="n"/>
      <c r="I500" s="28" t="n"/>
      <c r="J500" s="28" t="n"/>
      <c r="K500" s="24">
        <f>IF(D500="","",IFERROR(INDEX(Setup!$B$24:$B$59,MATCH(D500,Setup!$A$24:$A$59,0)),"Check category"))</f>
        <v/>
      </c>
      <c r="L500" s="25">
        <f>IF(A500="","",DATE(YEAR(A500),MONTH(A500),1))</f>
        <v/>
      </c>
      <c r="M500" s="26">
        <f>IF(AND(E500="",F500=""),"",N(E500)-N(F500))</f>
        <v/>
      </c>
      <c r="N500" s="28" t="n"/>
    </row>
    <row r="501">
      <c r="A501" s="27" t="n"/>
      <c r="B501" s="28" t="n"/>
      <c r="C501" s="28" t="n"/>
      <c r="D501" s="28" t="n"/>
      <c r="E501" s="29" t="n"/>
      <c r="F501" s="29" t="n"/>
      <c r="G501" s="28" t="n"/>
      <c r="H501" s="28" t="n"/>
      <c r="I501" s="28" t="n"/>
      <c r="J501" s="28" t="n"/>
      <c r="K501" s="24">
        <f>IF(D501="","",IFERROR(INDEX(Setup!$B$24:$B$59,MATCH(D501,Setup!$A$24:$A$59,0)),"Check category"))</f>
        <v/>
      </c>
      <c r="L501" s="25">
        <f>IF(A501="","",DATE(YEAR(A501),MONTH(A501),1))</f>
        <v/>
      </c>
      <c r="M501" s="26">
        <f>IF(AND(E501="",F501=""),"",N(E501)-N(F501))</f>
        <v/>
      </c>
      <c r="N501" s="28" t="n"/>
    </row>
    <row r="502">
      <c r="A502" s="27" t="n"/>
      <c r="B502" s="28" t="n"/>
      <c r="C502" s="28" t="n"/>
      <c r="D502" s="28" t="n"/>
      <c r="E502" s="29" t="n"/>
      <c r="F502" s="29" t="n"/>
      <c r="G502" s="28" t="n"/>
      <c r="H502" s="28" t="n"/>
      <c r="I502" s="28" t="n"/>
      <c r="J502" s="28" t="n"/>
      <c r="K502" s="24">
        <f>IF(D502="","",IFERROR(INDEX(Setup!$B$24:$B$59,MATCH(D502,Setup!$A$24:$A$59,0)),"Check category"))</f>
        <v/>
      </c>
      <c r="L502" s="25">
        <f>IF(A502="","",DATE(YEAR(A502),MONTH(A502),1))</f>
        <v/>
      </c>
      <c r="M502" s="26">
        <f>IF(AND(E502="",F502=""),"",N(E502)-N(F502))</f>
        <v/>
      </c>
      <c r="N502" s="28" t="n"/>
    </row>
    <row r="503">
      <c r="A503" s="27" t="n"/>
      <c r="B503" s="28" t="n"/>
      <c r="C503" s="28" t="n"/>
      <c r="D503" s="28" t="n"/>
      <c r="E503" s="29" t="n"/>
      <c r="F503" s="29" t="n"/>
      <c r="G503" s="28" t="n"/>
      <c r="H503" s="28" t="n"/>
      <c r="I503" s="28" t="n"/>
      <c r="J503" s="28" t="n"/>
      <c r="K503" s="24">
        <f>IF(D503="","",IFERROR(INDEX(Setup!$B$24:$B$59,MATCH(D503,Setup!$A$24:$A$59,0)),"Check category"))</f>
        <v/>
      </c>
      <c r="L503" s="25">
        <f>IF(A503="","",DATE(YEAR(A503),MONTH(A503),1))</f>
        <v/>
      </c>
      <c r="M503" s="26">
        <f>IF(AND(E503="",F503=""),"",N(E503)-N(F503))</f>
        <v/>
      </c>
      <c r="N503" s="28" t="n"/>
    </row>
    <row r="504">
      <c r="A504" s="27" t="n"/>
      <c r="B504" s="28" t="n"/>
      <c r="C504" s="28" t="n"/>
      <c r="D504" s="28" t="n"/>
      <c r="E504" s="29" t="n"/>
      <c r="F504" s="29" t="n"/>
      <c r="G504" s="28" t="n"/>
      <c r="H504" s="28" t="n"/>
      <c r="I504" s="28" t="n"/>
      <c r="J504" s="28" t="n"/>
      <c r="K504" s="24">
        <f>IF(D504="","",IFERROR(INDEX(Setup!$B$24:$B$59,MATCH(D504,Setup!$A$24:$A$59,0)),"Check category"))</f>
        <v/>
      </c>
      <c r="L504" s="25">
        <f>IF(A504="","",DATE(YEAR(A504),MONTH(A504),1))</f>
        <v/>
      </c>
      <c r="M504" s="26">
        <f>IF(AND(E504="",F504=""),"",N(E504)-N(F504))</f>
        <v/>
      </c>
      <c r="N504" s="28" t="n"/>
    </row>
    <row r="505">
      <c r="A505" s="27" t="n"/>
      <c r="B505" s="28" t="n"/>
      <c r="C505" s="28" t="n"/>
      <c r="D505" s="28" t="n"/>
      <c r="E505" s="29" t="n"/>
      <c r="F505" s="29" t="n"/>
      <c r="G505" s="28" t="n"/>
      <c r="H505" s="28" t="n"/>
      <c r="I505" s="28" t="n"/>
      <c r="J505" s="28" t="n"/>
      <c r="K505" s="24">
        <f>IF(D505="","",IFERROR(INDEX(Setup!$B$24:$B$59,MATCH(D505,Setup!$A$24:$A$59,0)),"Check category"))</f>
        <v/>
      </c>
      <c r="L505" s="25">
        <f>IF(A505="","",DATE(YEAR(A505),MONTH(A505),1))</f>
        <v/>
      </c>
      <c r="M505" s="26">
        <f>IF(AND(E505="",F505=""),"",N(E505)-N(F505))</f>
        <v/>
      </c>
      <c r="N505" s="28" t="n"/>
    </row>
    <row r="506">
      <c r="A506" s="27" t="n"/>
      <c r="B506" s="28" t="n"/>
      <c r="C506" s="28" t="n"/>
      <c r="D506" s="28" t="n"/>
      <c r="E506" s="29" t="n"/>
      <c r="F506" s="29" t="n"/>
      <c r="G506" s="28" t="n"/>
      <c r="H506" s="28" t="n"/>
      <c r="I506" s="28" t="n"/>
      <c r="J506" s="28" t="n"/>
      <c r="K506" s="24">
        <f>IF(D506="","",IFERROR(INDEX(Setup!$B$24:$B$59,MATCH(D506,Setup!$A$24:$A$59,0)),"Check category"))</f>
        <v/>
      </c>
      <c r="L506" s="25">
        <f>IF(A506="","",DATE(YEAR(A506),MONTH(A506),1))</f>
        <v/>
      </c>
      <c r="M506" s="26">
        <f>IF(AND(E506="",F506=""),"",N(E506)-N(F506))</f>
        <v/>
      </c>
      <c r="N506" s="28" t="n"/>
    </row>
    <row r="507">
      <c r="A507" s="27" t="n"/>
      <c r="B507" s="28" t="n"/>
      <c r="C507" s="28" t="n"/>
      <c r="D507" s="28" t="n"/>
      <c r="E507" s="29" t="n"/>
      <c r="F507" s="29" t="n"/>
      <c r="G507" s="28" t="n"/>
      <c r="H507" s="28" t="n"/>
      <c r="I507" s="28" t="n"/>
      <c r="J507" s="28" t="n"/>
      <c r="K507" s="24">
        <f>IF(D507="","",IFERROR(INDEX(Setup!$B$24:$B$59,MATCH(D507,Setup!$A$24:$A$59,0)),"Check category"))</f>
        <v/>
      </c>
      <c r="L507" s="25">
        <f>IF(A507="","",DATE(YEAR(A507),MONTH(A507),1))</f>
        <v/>
      </c>
      <c r="M507" s="26">
        <f>IF(AND(E507="",F507=""),"",N(E507)-N(F507))</f>
        <v/>
      </c>
      <c r="N507" s="28" t="n"/>
    </row>
    <row r="508">
      <c r="A508" s="27" t="n"/>
      <c r="B508" s="28" t="n"/>
      <c r="C508" s="28" t="n"/>
      <c r="D508" s="28" t="n"/>
      <c r="E508" s="29" t="n"/>
      <c r="F508" s="29" t="n"/>
      <c r="G508" s="28" t="n"/>
      <c r="H508" s="28" t="n"/>
      <c r="I508" s="28" t="n"/>
      <c r="J508" s="28" t="n"/>
      <c r="K508" s="24">
        <f>IF(D508="","",IFERROR(INDEX(Setup!$B$24:$B$59,MATCH(D508,Setup!$A$24:$A$59,0)),"Check category"))</f>
        <v/>
      </c>
      <c r="L508" s="25">
        <f>IF(A508="","",DATE(YEAR(A508),MONTH(A508),1))</f>
        <v/>
      </c>
      <c r="M508" s="26">
        <f>IF(AND(E508="",F508=""),"",N(E508)-N(F508))</f>
        <v/>
      </c>
      <c r="N508" s="28" t="n"/>
    </row>
    <row r="509">
      <c r="A509" s="27" t="n"/>
      <c r="B509" s="28" t="n"/>
      <c r="C509" s="28" t="n"/>
      <c r="D509" s="28" t="n"/>
      <c r="E509" s="29" t="n"/>
      <c r="F509" s="29" t="n"/>
      <c r="G509" s="28" t="n"/>
      <c r="H509" s="28" t="n"/>
      <c r="I509" s="28" t="n"/>
      <c r="J509" s="28" t="n"/>
      <c r="K509" s="24">
        <f>IF(D509="","",IFERROR(INDEX(Setup!$B$24:$B$59,MATCH(D509,Setup!$A$24:$A$59,0)),"Check category"))</f>
        <v/>
      </c>
      <c r="L509" s="25">
        <f>IF(A509="","",DATE(YEAR(A509),MONTH(A509),1))</f>
        <v/>
      </c>
      <c r="M509" s="26">
        <f>IF(AND(E509="",F509=""),"",N(E509)-N(F509))</f>
        <v/>
      </c>
      <c r="N509" s="28" t="n"/>
    </row>
    <row r="510">
      <c r="A510" s="27" t="n"/>
      <c r="B510" s="28" t="n"/>
      <c r="C510" s="28" t="n"/>
      <c r="D510" s="28" t="n"/>
      <c r="E510" s="29" t="n"/>
      <c r="F510" s="29" t="n"/>
      <c r="G510" s="28" t="n"/>
      <c r="H510" s="28" t="n"/>
      <c r="I510" s="28" t="n"/>
      <c r="J510" s="28" t="n"/>
      <c r="K510" s="24">
        <f>IF(D510="","",IFERROR(INDEX(Setup!$B$24:$B$59,MATCH(D510,Setup!$A$24:$A$59,0)),"Check category"))</f>
        <v/>
      </c>
      <c r="L510" s="25">
        <f>IF(A510="","",DATE(YEAR(A510),MONTH(A510),1))</f>
        <v/>
      </c>
      <c r="M510" s="26">
        <f>IF(AND(E510="",F510=""),"",N(E510)-N(F510))</f>
        <v/>
      </c>
      <c r="N510" s="28" t="n"/>
    </row>
    <row r="511">
      <c r="A511" s="27" t="n"/>
      <c r="B511" s="28" t="n"/>
      <c r="C511" s="28" t="n"/>
      <c r="D511" s="28" t="n"/>
      <c r="E511" s="29" t="n"/>
      <c r="F511" s="29" t="n"/>
      <c r="G511" s="28" t="n"/>
      <c r="H511" s="28" t="n"/>
      <c r="I511" s="28" t="n"/>
      <c r="J511" s="28" t="n"/>
      <c r="K511" s="24">
        <f>IF(D511="","",IFERROR(INDEX(Setup!$B$24:$B$59,MATCH(D511,Setup!$A$24:$A$59,0)),"Check category"))</f>
        <v/>
      </c>
      <c r="L511" s="25">
        <f>IF(A511="","",DATE(YEAR(A511),MONTH(A511),1))</f>
        <v/>
      </c>
      <c r="M511" s="26">
        <f>IF(AND(E511="",F511=""),"",N(E511)-N(F511))</f>
        <v/>
      </c>
      <c r="N511" s="28" t="n"/>
    </row>
    <row r="512">
      <c r="A512" s="27" t="n"/>
      <c r="B512" s="28" t="n"/>
      <c r="C512" s="28" t="n"/>
      <c r="D512" s="28" t="n"/>
      <c r="E512" s="29" t="n"/>
      <c r="F512" s="29" t="n"/>
      <c r="G512" s="28" t="n"/>
      <c r="H512" s="28" t="n"/>
      <c r="I512" s="28" t="n"/>
      <c r="J512" s="28" t="n"/>
      <c r="K512" s="24">
        <f>IF(D512="","",IFERROR(INDEX(Setup!$B$24:$B$59,MATCH(D512,Setup!$A$24:$A$59,0)),"Check category"))</f>
        <v/>
      </c>
      <c r="L512" s="25">
        <f>IF(A512="","",DATE(YEAR(A512),MONTH(A512),1))</f>
        <v/>
      </c>
      <c r="M512" s="26">
        <f>IF(AND(E512="",F512=""),"",N(E512)-N(F512))</f>
        <v/>
      </c>
      <c r="N512" s="28" t="n"/>
    </row>
    <row r="513">
      <c r="A513" s="27" t="n"/>
      <c r="B513" s="28" t="n"/>
      <c r="C513" s="28" t="n"/>
      <c r="D513" s="28" t="n"/>
      <c r="E513" s="29" t="n"/>
      <c r="F513" s="29" t="n"/>
      <c r="G513" s="28" t="n"/>
      <c r="H513" s="28" t="n"/>
      <c r="I513" s="28" t="n"/>
      <c r="J513" s="28" t="n"/>
      <c r="K513" s="24">
        <f>IF(D513="","",IFERROR(INDEX(Setup!$B$24:$B$59,MATCH(D513,Setup!$A$24:$A$59,0)),"Check category"))</f>
        <v/>
      </c>
      <c r="L513" s="25">
        <f>IF(A513="","",DATE(YEAR(A513),MONTH(A513),1))</f>
        <v/>
      </c>
      <c r="M513" s="26">
        <f>IF(AND(E513="",F513=""),"",N(E513)-N(F513))</f>
        <v/>
      </c>
      <c r="N513" s="28" t="n"/>
    </row>
    <row r="514">
      <c r="A514" s="27" t="n"/>
      <c r="B514" s="28" t="n"/>
      <c r="C514" s="28" t="n"/>
      <c r="D514" s="28" t="n"/>
      <c r="E514" s="29" t="n"/>
      <c r="F514" s="29" t="n"/>
      <c r="G514" s="28" t="n"/>
      <c r="H514" s="28" t="n"/>
      <c r="I514" s="28" t="n"/>
      <c r="J514" s="28" t="n"/>
      <c r="K514" s="24">
        <f>IF(D514="","",IFERROR(INDEX(Setup!$B$24:$B$59,MATCH(D514,Setup!$A$24:$A$59,0)),"Check category"))</f>
        <v/>
      </c>
      <c r="L514" s="25">
        <f>IF(A514="","",DATE(YEAR(A514),MONTH(A514),1))</f>
        <v/>
      </c>
      <c r="M514" s="26">
        <f>IF(AND(E514="",F514=""),"",N(E514)-N(F514))</f>
        <v/>
      </c>
      <c r="N514" s="28" t="n"/>
    </row>
    <row r="515">
      <c r="A515" s="27" t="n"/>
      <c r="B515" s="28" t="n"/>
      <c r="C515" s="28" t="n"/>
      <c r="D515" s="28" t="n"/>
      <c r="E515" s="29" t="n"/>
      <c r="F515" s="29" t="n"/>
      <c r="G515" s="28" t="n"/>
      <c r="H515" s="28" t="n"/>
      <c r="I515" s="28" t="n"/>
      <c r="J515" s="28" t="n"/>
      <c r="K515" s="24">
        <f>IF(D515="","",IFERROR(INDEX(Setup!$B$24:$B$59,MATCH(D515,Setup!$A$24:$A$59,0)),"Check category"))</f>
        <v/>
      </c>
      <c r="L515" s="25">
        <f>IF(A515="","",DATE(YEAR(A515),MONTH(A515),1))</f>
        <v/>
      </c>
      <c r="M515" s="26">
        <f>IF(AND(E515="",F515=""),"",N(E515)-N(F515))</f>
        <v/>
      </c>
      <c r="N515" s="28" t="n"/>
    </row>
    <row r="516">
      <c r="A516" s="27" t="n"/>
      <c r="B516" s="28" t="n"/>
      <c r="C516" s="28" t="n"/>
      <c r="D516" s="28" t="n"/>
      <c r="E516" s="29" t="n"/>
      <c r="F516" s="29" t="n"/>
      <c r="G516" s="28" t="n"/>
      <c r="H516" s="28" t="n"/>
      <c r="I516" s="28" t="n"/>
      <c r="J516" s="28" t="n"/>
      <c r="K516" s="24">
        <f>IF(D516="","",IFERROR(INDEX(Setup!$B$24:$B$59,MATCH(D516,Setup!$A$24:$A$59,0)),"Check category"))</f>
        <v/>
      </c>
      <c r="L516" s="25">
        <f>IF(A516="","",DATE(YEAR(A516),MONTH(A516),1))</f>
        <v/>
      </c>
      <c r="M516" s="26">
        <f>IF(AND(E516="",F516=""),"",N(E516)-N(F516))</f>
        <v/>
      </c>
      <c r="N516" s="28" t="n"/>
    </row>
    <row r="517">
      <c r="A517" s="27" t="n"/>
      <c r="B517" s="28" t="n"/>
      <c r="C517" s="28" t="n"/>
      <c r="D517" s="28" t="n"/>
      <c r="E517" s="29" t="n"/>
      <c r="F517" s="29" t="n"/>
      <c r="G517" s="28" t="n"/>
      <c r="H517" s="28" t="n"/>
      <c r="I517" s="28" t="n"/>
      <c r="J517" s="28" t="n"/>
      <c r="K517" s="24">
        <f>IF(D517="","",IFERROR(INDEX(Setup!$B$24:$B$59,MATCH(D517,Setup!$A$24:$A$59,0)),"Check category"))</f>
        <v/>
      </c>
      <c r="L517" s="25">
        <f>IF(A517="","",DATE(YEAR(A517),MONTH(A517),1))</f>
        <v/>
      </c>
      <c r="M517" s="26">
        <f>IF(AND(E517="",F517=""),"",N(E517)-N(F517))</f>
        <v/>
      </c>
      <c r="N517" s="28" t="n"/>
    </row>
    <row r="518">
      <c r="A518" s="27" t="n"/>
      <c r="B518" s="28" t="n"/>
      <c r="C518" s="28" t="n"/>
      <c r="D518" s="28" t="n"/>
      <c r="E518" s="29" t="n"/>
      <c r="F518" s="29" t="n"/>
      <c r="G518" s="28" t="n"/>
      <c r="H518" s="28" t="n"/>
      <c r="I518" s="28" t="n"/>
      <c r="J518" s="28" t="n"/>
      <c r="K518" s="24">
        <f>IF(D518="","",IFERROR(INDEX(Setup!$B$24:$B$59,MATCH(D518,Setup!$A$24:$A$59,0)),"Check category"))</f>
        <v/>
      </c>
      <c r="L518" s="25">
        <f>IF(A518="","",DATE(YEAR(A518),MONTH(A518),1))</f>
        <v/>
      </c>
      <c r="M518" s="26">
        <f>IF(AND(E518="",F518=""),"",N(E518)-N(F518))</f>
        <v/>
      </c>
      <c r="N518" s="28" t="n"/>
    </row>
    <row r="519">
      <c r="A519" s="27" t="n"/>
      <c r="B519" s="28" t="n"/>
      <c r="C519" s="28" t="n"/>
      <c r="D519" s="28" t="n"/>
      <c r="E519" s="29" t="n"/>
      <c r="F519" s="29" t="n"/>
      <c r="G519" s="28" t="n"/>
      <c r="H519" s="28" t="n"/>
      <c r="I519" s="28" t="n"/>
      <c r="J519" s="28" t="n"/>
      <c r="K519" s="24">
        <f>IF(D519="","",IFERROR(INDEX(Setup!$B$24:$B$59,MATCH(D519,Setup!$A$24:$A$59,0)),"Check category"))</f>
        <v/>
      </c>
      <c r="L519" s="25">
        <f>IF(A519="","",DATE(YEAR(A519),MONTH(A519),1))</f>
        <v/>
      </c>
      <c r="M519" s="26">
        <f>IF(AND(E519="",F519=""),"",N(E519)-N(F519))</f>
        <v/>
      </c>
      <c r="N519" s="28" t="n"/>
    </row>
    <row r="520">
      <c r="A520" s="27" t="n"/>
      <c r="B520" s="28" t="n"/>
      <c r="C520" s="28" t="n"/>
      <c r="D520" s="28" t="n"/>
      <c r="E520" s="29" t="n"/>
      <c r="F520" s="29" t="n"/>
      <c r="G520" s="28" t="n"/>
      <c r="H520" s="28" t="n"/>
      <c r="I520" s="28" t="n"/>
      <c r="J520" s="28" t="n"/>
      <c r="K520" s="24">
        <f>IF(D520="","",IFERROR(INDEX(Setup!$B$24:$B$59,MATCH(D520,Setup!$A$24:$A$59,0)),"Check category"))</f>
        <v/>
      </c>
      <c r="L520" s="25">
        <f>IF(A520="","",DATE(YEAR(A520),MONTH(A520),1))</f>
        <v/>
      </c>
      <c r="M520" s="26">
        <f>IF(AND(E520="",F520=""),"",N(E520)-N(F520))</f>
        <v/>
      </c>
      <c r="N520" s="28" t="n"/>
    </row>
    <row r="521">
      <c r="A521" s="27" t="n"/>
      <c r="B521" s="28" t="n"/>
      <c r="C521" s="28" t="n"/>
      <c r="D521" s="28" t="n"/>
      <c r="E521" s="29" t="n"/>
      <c r="F521" s="29" t="n"/>
      <c r="G521" s="28" t="n"/>
      <c r="H521" s="28" t="n"/>
      <c r="I521" s="28" t="n"/>
      <c r="J521" s="28" t="n"/>
      <c r="K521" s="24">
        <f>IF(D521="","",IFERROR(INDEX(Setup!$B$24:$B$59,MATCH(D521,Setup!$A$24:$A$59,0)),"Check category"))</f>
        <v/>
      </c>
      <c r="L521" s="25">
        <f>IF(A521="","",DATE(YEAR(A521),MONTH(A521),1))</f>
        <v/>
      </c>
      <c r="M521" s="26">
        <f>IF(AND(E521="",F521=""),"",N(E521)-N(F521))</f>
        <v/>
      </c>
      <c r="N521" s="28" t="n"/>
    </row>
    <row r="522">
      <c r="A522" s="27" t="n"/>
      <c r="B522" s="28" t="n"/>
      <c r="C522" s="28" t="n"/>
      <c r="D522" s="28" t="n"/>
      <c r="E522" s="29" t="n"/>
      <c r="F522" s="29" t="n"/>
      <c r="G522" s="28" t="n"/>
      <c r="H522" s="28" t="n"/>
      <c r="I522" s="28" t="n"/>
      <c r="J522" s="28" t="n"/>
      <c r="K522" s="24">
        <f>IF(D522="","",IFERROR(INDEX(Setup!$B$24:$B$59,MATCH(D522,Setup!$A$24:$A$59,0)),"Check category"))</f>
        <v/>
      </c>
      <c r="L522" s="25">
        <f>IF(A522="","",DATE(YEAR(A522),MONTH(A522),1))</f>
        <v/>
      </c>
      <c r="M522" s="26">
        <f>IF(AND(E522="",F522=""),"",N(E522)-N(F522))</f>
        <v/>
      </c>
      <c r="N522" s="28" t="n"/>
    </row>
    <row r="523">
      <c r="A523" s="27" t="n"/>
      <c r="B523" s="28" t="n"/>
      <c r="C523" s="28" t="n"/>
      <c r="D523" s="28" t="n"/>
      <c r="E523" s="29" t="n"/>
      <c r="F523" s="29" t="n"/>
      <c r="G523" s="28" t="n"/>
      <c r="H523" s="28" t="n"/>
      <c r="I523" s="28" t="n"/>
      <c r="J523" s="28" t="n"/>
      <c r="K523" s="24">
        <f>IF(D523="","",IFERROR(INDEX(Setup!$B$24:$B$59,MATCH(D523,Setup!$A$24:$A$59,0)),"Check category"))</f>
        <v/>
      </c>
      <c r="L523" s="25">
        <f>IF(A523="","",DATE(YEAR(A523),MONTH(A523),1))</f>
        <v/>
      </c>
      <c r="M523" s="26">
        <f>IF(AND(E523="",F523=""),"",N(E523)-N(F523))</f>
        <v/>
      </c>
      <c r="N523" s="28" t="n"/>
    </row>
    <row r="524">
      <c r="A524" s="27" t="n"/>
      <c r="B524" s="28" t="n"/>
      <c r="C524" s="28" t="n"/>
      <c r="D524" s="28" t="n"/>
      <c r="E524" s="29" t="n"/>
      <c r="F524" s="29" t="n"/>
      <c r="G524" s="28" t="n"/>
      <c r="H524" s="28" t="n"/>
      <c r="I524" s="28" t="n"/>
      <c r="J524" s="28" t="n"/>
      <c r="K524" s="24">
        <f>IF(D524="","",IFERROR(INDEX(Setup!$B$24:$B$59,MATCH(D524,Setup!$A$24:$A$59,0)),"Check category"))</f>
        <v/>
      </c>
      <c r="L524" s="25">
        <f>IF(A524="","",DATE(YEAR(A524),MONTH(A524),1))</f>
        <v/>
      </c>
      <c r="M524" s="26">
        <f>IF(AND(E524="",F524=""),"",N(E524)-N(F524))</f>
        <v/>
      </c>
      <c r="N524" s="28" t="n"/>
    </row>
    <row r="525">
      <c r="A525" s="27" t="n"/>
      <c r="B525" s="28" t="n"/>
      <c r="C525" s="28" t="n"/>
      <c r="D525" s="28" t="n"/>
      <c r="E525" s="29" t="n"/>
      <c r="F525" s="29" t="n"/>
      <c r="G525" s="28" t="n"/>
      <c r="H525" s="28" t="n"/>
      <c r="I525" s="28" t="n"/>
      <c r="J525" s="28" t="n"/>
      <c r="K525" s="24">
        <f>IF(D525="","",IFERROR(INDEX(Setup!$B$24:$B$59,MATCH(D525,Setup!$A$24:$A$59,0)),"Check category"))</f>
        <v/>
      </c>
      <c r="L525" s="25">
        <f>IF(A525="","",DATE(YEAR(A525),MONTH(A525),1))</f>
        <v/>
      </c>
      <c r="M525" s="26">
        <f>IF(AND(E525="",F525=""),"",N(E525)-N(F525))</f>
        <v/>
      </c>
      <c r="N525" s="28" t="n"/>
    </row>
    <row r="526">
      <c r="A526" s="27" t="n"/>
      <c r="B526" s="28" t="n"/>
      <c r="C526" s="28" t="n"/>
      <c r="D526" s="28" t="n"/>
      <c r="E526" s="29" t="n"/>
      <c r="F526" s="29" t="n"/>
      <c r="G526" s="28" t="n"/>
      <c r="H526" s="28" t="n"/>
      <c r="I526" s="28" t="n"/>
      <c r="J526" s="28" t="n"/>
      <c r="K526" s="24">
        <f>IF(D526="","",IFERROR(INDEX(Setup!$B$24:$B$59,MATCH(D526,Setup!$A$24:$A$59,0)),"Check category"))</f>
        <v/>
      </c>
      <c r="L526" s="25">
        <f>IF(A526="","",DATE(YEAR(A526),MONTH(A526),1))</f>
        <v/>
      </c>
      <c r="M526" s="26">
        <f>IF(AND(E526="",F526=""),"",N(E526)-N(F526))</f>
        <v/>
      </c>
      <c r="N526" s="28" t="n"/>
    </row>
    <row r="527">
      <c r="A527" s="27" t="n"/>
      <c r="B527" s="28" t="n"/>
      <c r="C527" s="28" t="n"/>
      <c r="D527" s="28" t="n"/>
      <c r="E527" s="29" t="n"/>
      <c r="F527" s="29" t="n"/>
      <c r="G527" s="28" t="n"/>
      <c r="H527" s="28" t="n"/>
      <c r="I527" s="28" t="n"/>
      <c r="J527" s="28" t="n"/>
      <c r="K527" s="24">
        <f>IF(D527="","",IFERROR(INDEX(Setup!$B$24:$B$59,MATCH(D527,Setup!$A$24:$A$59,0)),"Check category"))</f>
        <v/>
      </c>
      <c r="L527" s="25">
        <f>IF(A527="","",DATE(YEAR(A527),MONTH(A527),1))</f>
        <v/>
      </c>
      <c r="M527" s="26">
        <f>IF(AND(E527="",F527=""),"",N(E527)-N(F527))</f>
        <v/>
      </c>
      <c r="N527" s="28" t="n"/>
    </row>
    <row r="528">
      <c r="A528" s="27" t="n"/>
      <c r="B528" s="28" t="n"/>
      <c r="C528" s="28" t="n"/>
      <c r="D528" s="28" t="n"/>
      <c r="E528" s="29" t="n"/>
      <c r="F528" s="29" t="n"/>
      <c r="G528" s="28" t="n"/>
      <c r="H528" s="28" t="n"/>
      <c r="I528" s="28" t="n"/>
      <c r="J528" s="28" t="n"/>
      <c r="K528" s="24">
        <f>IF(D528="","",IFERROR(INDEX(Setup!$B$24:$B$59,MATCH(D528,Setup!$A$24:$A$59,0)),"Check category"))</f>
        <v/>
      </c>
      <c r="L528" s="25">
        <f>IF(A528="","",DATE(YEAR(A528),MONTH(A528),1))</f>
        <v/>
      </c>
      <c r="M528" s="26">
        <f>IF(AND(E528="",F528=""),"",N(E528)-N(F528))</f>
        <v/>
      </c>
      <c r="N528" s="28" t="n"/>
    </row>
    <row r="529">
      <c r="A529" s="27" t="n"/>
      <c r="B529" s="28" t="n"/>
      <c r="C529" s="28" t="n"/>
      <c r="D529" s="28" t="n"/>
      <c r="E529" s="29" t="n"/>
      <c r="F529" s="29" t="n"/>
      <c r="G529" s="28" t="n"/>
      <c r="H529" s="28" t="n"/>
      <c r="I529" s="28" t="n"/>
      <c r="J529" s="28" t="n"/>
      <c r="K529" s="24">
        <f>IF(D529="","",IFERROR(INDEX(Setup!$B$24:$B$59,MATCH(D529,Setup!$A$24:$A$59,0)),"Check category"))</f>
        <v/>
      </c>
      <c r="L529" s="25">
        <f>IF(A529="","",DATE(YEAR(A529),MONTH(A529),1))</f>
        <v/>
      </c>
      <c r="M529" s="26">
        <f>IF(AND(E529="",F529=""),"",N(E529)-N(F529))</f>
        <v/>
      </c>
      <c r="N529" s="28" t="n"/>
    </row>
    <row r="530">
      <c r="A530" s="27" t="n"/>
      <c r="B530" s="28" t="n"/>
      <c r="C530" s="28" t="n"/>
      <c r="D530" s="28" t="n"/>
      <c r="E530" s="29" t="n"/>
      <c r="F530" s="29" t="n"/>
      <c r="G530" s="28" t="n"/>
      <c r="H530" s="28" t="n"/>
      <c r="I530" s="28" t="n"/>
      <c r="J530" s="28" t="n"/>
      <c r="K530" s="24">
        <f>IF(D530="","",IFERROR(INDEX(Setup!$B$24:$B$59,MATCH(D530,Setup!$A$24:$A$59,0)),"Check category"))</f>
        <v/>
      </c>
      <c r="L530" s="25">
        <f>IF(A530="","",DATE(YEAR(A530),MONTH(A530),1))</f>
        <v/>
      </c>
      <c r="M530" s="26">
        <f>IF(AND(E530="",F530=""),"",N(E530)-N(F530))</f>
        <v/>
      </c>
      <c r="N530" s="28" t="n"/>
    </row>
    <row r="531">
      <c r="A531" s="27" t="n"/>
      <c r="B531" s="28" t="n"/>
      <c r="C531" s="28" t="n"/>
      <c r="D531" s="28" t="n"/>
      <c r="E531" s="29" t="n"/>
      <c r="F531" s="29" t="n"/>
      <c r="G531" s="28" t="n"/>
      <c r="H531" s="28" t="n"/>
      <c r="I531" s="28" t="n"/>
      <c r="J531" s="28" t="n"/>
      <c r="K531" s="24">
        <f>IF(D531="","",IFERROR(INDEX(Setup!$B$24:$B$59,MATCH(D531,Setup!$A$24:$A$59,0)),"Check category"))</f>
        <v/>
      </c>
      <c r="L531" s="25">
        <f>IF(A531="","",DATE(YEAR(A531),MONTH(A531),1))</f>
        <v/>
      </c>
      <c r="M531" s="26">
        <f>IF(AND(E531="",F531=""),"",N(E531)-N(F531))</f>
        <v/>
      </c>
      <c r="N531" s="28" t="n"/>
    </row>
    <row r="532">
      <c r="A532" s="27" t="n"/>
      <c r="B532" s="28" t="n"/>
      <c r="C532" s="28" t="n"/>
      <c r="D532" s="28" t="n"/>
      <c r="E532" s="29" t="n"/>
      <c r="F532" s="29" t="n"/>
      <c r="G532" s="28" t="n"/>
      <c r="H532" s="28" t="n"/>
      <c r="I532" s="28" t="n"/>
      <c r="J532" s="28" t="n"/>
      <c r="K532" s="24">
        <f>IF(D532="","",IFERROR(INDEX(Setup!$B$24:$B$59,MATCH(D532,Setup!$A$24:$A$59,0)),"Check category"))</f>
        <v/>
      </c>
      <c r="L532" s="25">
        <f>IF(A532="","",DATE(YEAR(A532),MONTH(A532),1))</f>
        <v/>
      </c>
      <c r="M532" s="26">
        <f>IF(AND(E532="",F532=""),"",N(E532)-N(F532))</f>
        <v/>
      </c>
      <c r="N532" s="28" t="n"/>
    </row>
    <row r="533">
      <c r="A533" s="27" t="n"/>
      <c r="B533" s="28" t="n"/>
      <c r="C533" s="28" t="n"/>
      <c r="D533" s="28" t="n"/>
      <c r="E533" s="29" t="n"/>
      <c r="F533" s="29" t="n"/>
      <c r="G533" s="28" t="n"/>
      <c r="H533" s="28" t="n"/>
      <c r="I533" s="28" t="n"/>
      <c r="J533" s="28" t="n"/>
      <c r="K533" s="24">
        <f>IF(D533="","",IFERROR(INDEX(Setup!$B$24:$B$59,MATCH(D533,Setup!$A$24:$A$59,0)),"Check category"))</f>
        <v/>
      </c>
      <c r="L533" s="25">
        <f>IF(A533="","",DATE(YEAR(A533),MONTH(A533),1))</f>
        <v/>
      </c>
      <c r="M533" s="26">
        <f>IF(AND(E533="",F533=""),"",N(E533)-N(F533))</f>
        <v/>
      </c>
      <c r="N533" s="28" t="n"/>
    </row>
    <row r="534">
      <c r="A534" s="27" t="n"/>
      <c r="B534" s="28" t="n"/>
      <c r="C534" s="28" t="n"/>
      <c r="D534" s="28" t="n"/>
      <c r="E534" s="29" t="n"/>
      <c r="F534" s="29" t="n"/>
      <c r="G534" s="28" t="n"/>
      <c r="H534" s="28" t="n"/>
      <c r="I534" s="28" t="n"/>
      <c r="J534" s="28" t="n"/>
      <c r="K534" s="24">
        <f>IF(D534="","",IFERROR(INDEX(Setup!$B$24:$B$59,MATCH(D534,Setup!$A$24:$A$59,0)),"Check category"))</f>
        <v/>
      </c>
      <c r="L534" s="25">
        <f>IF(A534="","",DATE(YEAR(A534),MONTH(A534),1))</f>
        <v/>
      </c>
      <c r="M534" s="26">
        <f>IF(AND(E534="",F534=""),"",N(E534)-N(F534))</f>
        <v/>
      </c>
      <c r="N534" s="28" t="n"/>
    </row>
    <row r="535">
      <c r="A535" s="27" t="n"/>
      <c r="B535" s="28" t="n"/>
      <c r="C535" s="28" t="n"/>
      <c r="D535" s="28" t="n"/>
      <c r="E535" s="29" t="n"/>
      <c r="F535" s="29" t="n"/>
      <c r="G535" s="28" t="n"/>
      <c r="H535" s="28" t="n"/>
      <c r="I535" s="28" t="n"/>
      <c r="J535" s="28" t="n"/>
      <c r="K535" s="24">
        <f>IF(D535="","",IFERROR(INDEX(Setup!$B$24:$B$59,MATCH(D535,Setup!$A$24:$A$59,0)),"Check category"))</f>
        <v/>
      </c>
      <c r="L535" s="25">
        <f>IF(A535="","",DATE(YEAR(A535),MONTH(A535),1))</f>
        <v/>
      </c>
      <c r="M535" s="26">
        <f>IF(AND(E535="",F535=""),"",N(E535)-N(F535))</f>
        <v/>
      </c>
      <c r="N535" s="28" t="n"/>
    </row>
    <row r="536">
      <c r="A536" s="27" t="n"/>
      <c r="B536" s="28" t="n"/>
      <c r="C536" s="28" t="n"/>
      <c r="D536" s="28" t="n"/>
      <c r="E536" s="29" t="n"/>
      <c r="F536" s="29" t="n"/>
      <c r="G536" s="28" t="n"/>
      <c r="H536" s="28" t="n"/>
      <c r="I536" s="28" t="n"/>
      <c r="J536" s="28" t="n"/>
      <c r="K536" s="24">
        <f>IF(D536="","",IFERROR(INDEX(Setup!$B$24:$B$59,MATCH(D536,Setup!$A$24:$A$59,0)),"Check category"))</f>
        <v/>
      </c>
      <c r="L536" s="25">
        <f>IF(A536="","",DATE(YEAR(A536),MONTH(A536),1))</f>
        <v/>
      </c>
      <c r="M536" s="26">
        <f>IF(AND(E536="",F536=""),"",N(E536)-N(F536))</f>
        <v/>
      </c>
      <c r="N536" s="28" t="n"/>
    </row>
    <row r="537">
      <c r="A537" s="27" t="n"/>
      <c r="B537" s="28" t="n"/>
      <c r="C537" s="28" t="n"/>
      <c r="D537" s="28" t="n"/>
      <c r="E537" s="29" t="n"/>
      <c r="F537" s="29" t="n"/>
      <c r="G537" s="28" t="n"/>
      <c r="H537" s="28" t="n"/>
      <c r="I537" s="28" t="n"/>
      <c r="J537" s="28" t="n"/>
      <c r="K537" s="24">
        <f>IF(D537="","",IFERROR(INDEX(Setup!$B$24:$B$59,MATCH(D537,Setup!$A$24:$A$59,0)),"Check category"))</f>
        <v/>
      </c>
      <c r="L537" s="25">
        <f>IF(A537="","",DATE(YEAR(A537),MONTH(A537),1))</f>
        <v/>
      </c>
      <c r="M537" s="26">
        <f>IF(AND(E537="",F537=""),"",N(E537)-N(F537))</f>
        <v/>
      </c>
      <c r="N537" s="28" t="n"/>
    </row>
    <row r="538">
      <c r="A538" s="27" t="n"/>
      <c r="B538" s="28" t="n"/>
      <c r="C538" s="28" t="n"/>
      <c r="D538" s="28" t="n"/>
      <c r="E538" s="29" t="n"/>
      <c r="F538" s="29" t="n"/>
      <c r="G538" s="28" t="n"/>
      <c r="H538" s="28" t="n"/>
      <c r="I538" s="28" t="n"/>
      <c r="J538" s="28" t="n"/>
      <c r="K538" s="24">
        <f>IF(D538="","",IFERROR(INDEX(Setup!$B$24:$B$59,MATCH(D538,Setup!$A$24:$A$59,0)),"Check category"))</f>
        <v/>
      </c>
      <c r="L538" s="25">
        <f>IF(A538="","",DATE(YEAR(A538),MONTH(A538),1))</f>
        <v/>
      </c>
      <c r="M538" s="26">
        <f>IF(AND(E538="",F538=""),"",N(E538)-N(F538))</f>
        <v/>
      </c>
      <c r="N538" s="28" t="n"/>
    </row>
    <row r="539">
      <c r="A539" s="27" t="n"/>
      <c r="B539" s="28" t="n"/>
      <c r="C539" s="28" t="n"/>
      <c r="D539" s="28" t="n"/>
      <c r="E539" s="29" t="n"/>
      <c r="F539" s="29" t="n"/>
      <c r="G539" s="28" t="n"/>
      <c r="H539" s="28" t="n"/>
      <c r="I539" s="28" t="n"/>
      <c r="J539" s="28" t="n"/>
      <c r="K539" s="24">
        <f>IF(D539="","",IFERROR(INDEX(Setup!$B$24:$B$59,MATCH(D539,Setup!$A$24:$A$59,0)),"Check category"))</f>
        <v/>
      </c>
      <c r="L539" s="25">
        <f>IF(A539="","",DATE(YEAR(A539),MONTH(A539),1))</f>
        <v/>
      </c>
      <c r="M539" s="26">
        <f>IF(AND(E539="",F539=""),"",N(E539)-N(F539))</f>
        <v/>
      </c>
      <c r="N539" s="28" t="n"/>
    </row>
    <row r="540">
      <c r="A540" s="27" t="n"/>
      <c r="B540" s="28" t="n"/>
      <c r="C540" s="28" t="n"/>
      <c r="D540" s="28" t="n"/>
      <c r="E540" s="29" t="n"/>
      <c r="F540" s="29" t="n"/>
      <c r="G540" s="28" t="n"/>
      <c r="H540" s="28" t="n"/>
      <c r="I540" s="28" t="n"/>
      <c r="J540" s="28" t="n"/>
      <c r="K540" s="24">
        <f>IF(D540="","",IFERROR(INDEX(Setup!$B$24:$B$59,MATCH(D540,Setup!$A$24:$A$59,0)),"Check category"))</f>
        <v/>
      </c>
      <c r="L540" s="25">
        <f>IF(A540="","",DATE(YEAR(A540),MONTH(A540),1))</f>
        <v/>
      </c>
      <c r="M540" s="26">
        <f>IF(AND(E540="",F540=""),"",N(E540)-N(F540))</f>
        <v/>
      </c>
      <c r="N540" s="28" t="n"/>
    </row>
    <row r="541">
      <c r="A541" s="27" t="n"/>
      <c r="B541" s="28" t="n"/>
      <c r="C541" s="28" t="n"/>
      <c r="D541" s="28" t="n"/>
      <c r="E541" s="29" t="n"/>
      <c r="F541" s="29" t="n"/>
      <c r="G541" s="28" t="n"/>
      <c r="H541" s="28" t="n"/>
      <c r="I541" s="28" t="n"/>
      <c r="J541" s="28" t="n"/>
      <c r="K541" s="24">
        <f>IF(D541="","",IFERROR(INDEX(Setup!$B$24:$B$59,MATCH(D541,Setup!$A$24:$A$59,0)),"Check category"))</f>
        <v/>
      </c>
      <c r="L541" s="25">
        <f>IF(A541="","",DATE(YEAR(A541),MONTH(A541),1))</f>
        <v/>
      </c>
      <c r="M541" s="26">
        <f>IF(AND(E541="",F541=""),"",N(E541)-N(F541))</f>
        <v/>
      </c>
      <c r="N541" s="28" t="n"/>
    </row>
    <row r="542">
      <c r="A542" s="27" t="n"/>
      <c r="B542" s="28" t="n"/>
      <c r="C542" s="28" t="n"/>
      <c r="D542" s="28" t="n"/>
      <c r="E542" s="29" t="n"/>
      <c r="F542" s="29" t="n"/>
      <c r="G542" s="28" t="n"/>
      <c r="H542" s="28" t="n"/>
      <c r="I542" s="28" t="n"/>
      <c r="J542" s="28" t="n"/>
      <c r="K542" s="24">
        <f>IF(D542="","",IFERROR(INDEX(Setup!$B$24:$B$59,MATCH(D542,Setup!$A$24:$A$59,0)),"Check category"))</f>
        <v/>
      </c>
      <c r="L542" s="25">
        <f>IF(A542="","",DATE(YEAR(A542),MONTH(A542),1))</f>
        <v/>
      </c>
      <c r="M542" s="26">
        <f>IF(AND(E542="",F542=""),"",N(E542)-N(F542))</f>
        <v/>
      </c>
      <c r="N542" s="28" t="n"/>
    </row>
    <row r="543">
      <c r="A543" s="27" t="n"/>
      <c r="B543" s="28" t="n"/>
      <c r="C543" s="28" t="n"/>
      <c r="D543" s="28" t="n"/>
      <c r="E543" s="29" t="n"/>
      <c r="F543" s="29" t="n"/>
      <c r="G543" s="28" t="n"/>
      <c r="H543" s="28" t="n"/>
      <c r="I543" s="28" t="n"/>
      <c r="J543" s="28" t="n"/>
      <c r="K543" s="24">
        <f>IF(D543="","",IFERROR(INDEX(Setup!$B$24:$B$59,MATCH(D543,Setup!$A$24:$A$59,0)),"Check category"))</f>
        <v/>
      </c>
      <c r="L543" s="25">
        <f>IF(A543="","",DATE(YEAR(A543),MONTH(A543),1))</f>
        <v/>
      </c>
      <c r="M543" s="26">
        <f>IF(AND(E543="",F543=""),"",N(E543)-N(F543))</f>
        <v/>
      </c>
      <c r="N543" s="28" t="n"/>
    </row>
    <row r="544">
      <c r="A544" s="27" t="n"/>
      <c r="B544" s="28" t="n"/>
      <c r="C544" s="28" t="n"/>
      <c r="D544" s="28" t="n"/>
      <c r="E544" s="29" t="n"/>
      <c r="F544" s="29" t="n"/>
      <c r="G544" s="28" t="n"/>
      <c r="H544" s="28" t="n"/>
      <c r="I544" s="28" t="n"/>
      <c r="J544" s="28" t="n"/>
      <c r="K544" s="24">
        <f>IF(D544="","",IFERROR(INDEX(Setup!$B$24:$B$59,MATCH(D544,Setup!$A$24:$A$59,0)),"Check category"))</f>
        <v/>
      </c>
      <c r="L544" s="25">
        <f>IF(A544="","",DATE(YEAR(A544),MONTH(A544),1))</f>
        <v/>
      </c>
      <c r="M544" s="26">
        <f>IF(AND(E544="",F544=""),"",N(E544)-N(F544))</f>
        <v/>
      </c>
      <c r="N544" s="28" t="n"/>
    </row>
    <row r="545">
      <c r="A545" s="27" t="n"/>
      <c r="B545" s="28" t="n"/>
      <c r="C545" s="28" t="n"/>
      <c r="D545" s="28" t="n"/>
      <c r="E545" s="29" t="n"/>
      <c r="F545" s="29" t="n"/>
      <c r="G545" s="28" t="n"/>
      <c r="H545" s="28" t="n"/>
      <c r="I545" s="28" t="n"/>
      <c r="J545" s="28" t="n"/>
      <c r="K545" s="24">
        <f>IF(D545="","",IFERROR(INDEX(Setup!$B$24:$B$59,MATCH(D545,Setup!$A$24:$A$59,0)),"Check category"))</f>
        <v/>
      </c>
      <c r="L545" s="25">
        <f>IF(A545="","",DATE(YEAR(A545),MONTH(A545),1))</f>
        <v/>
      </c>
      <c r="M545" s="26">
        <f>IF(AND(E545="",F545=""),"",N(E545)-N(F545))</f>
        <v/>
      </c>
      <c r="N545" s="28" t="n"/>
    </row>
    <row r="546">
      <c r="A546" s="27" t="n"/>
      <c r="B546" s="28" t="n"/>
      <c r="C546" s="28" t="n"/>
      <c r="D546" s="28" t="n"/>
      <c r="E546" s="29" t="n"/>
      <c r="F546" s="29" t="n"/>
      <c r="G546" s="28" t="n"/>
      <c r="H546" s="28" t="n"/>
      <c r="I546" s="28" t="n"/>
      <c r="J546" s="28" t="n"/>
      <c r="K546" s="24">
        <f>IF(D546="","",IFERROR(INDEX(Setup!$B$24:$B$59,MATCH(D546,Setup!$A$24:$A$59,0)),"Check category"))</f>
        <v/>
      </c>
      <c r="L546" s="25">
        <f>IF(A546="","",DATE(YEAR(A546),MONTH(A546),1))</f>
        <v/>
      </c>
      <c r="M546" s="26">
        <f>IF(AND(E546="",F546=""),"",N(E546)-N(F546))</f>
        <v/>
      </c>
      <c r="N546" s="28" t="n"/>
    </row>
    <row r="547">
      <c r="A547" s="27" t="n"/>
      <c r="B547" s="28" t="n"/>
      <c r="C547" s="28" t="n"/>
      <c r="D547" s="28" t="n"/>
      <c r="E547" s="29" t="n"/>
      <c r="F547" s="29" t="n"/>
      <c r="G547" s="28" t="n"/>
      <c r="H547" s="28" t="n"/>
      <c r="I547" s="28" t="n"/>
      <c r="J547" s="28" t="n"/>
      <c r="K547" s="24">
        <f>IF(D547="","",IFERROR(INDEX(Setup!$B$24:$B$59,MATCH(D547,Setup!$A$24:$A$59,0)),"Check category"))</f>
        <v/>
      </c>
      <c r="L547" s="25">
        <f>IF(A547="","",DATE(YEAR(A547),MONTH(A547),1))</f>
        <v/>
      </c>
      <c r="M547" s="26">
        <f>IF(AND(E547="",F547=""),"",N(E547)-N(F547))</f>
        <v/>
      </c>
      <c r="N547" s="28" t="n"/>
    </row>
    <row r="548">
      <c r="A548" s="27" t="n"/>
      <c r="B548" s="28" t="n"/>
      <c r="C548" s="28" t="n"/>
      <c r="D548" s="28" t="n"/>
      <c r="E548" s="29" t="n"/>
      <c r="F548" s="29" t="n"/>
      <c r="G548" s="28" t="n"/>
      <c r="H548" s="28" t="n"/>
      <c r="I548" s="28" t="n"/>
      <c r="J548" s="28" t="n"/>
      <c r="K548" s="24">
        <f>IF(D548="","",IFERROR(INDEX(Setup!$B$24:$B$59,MATCH(D548,Setup!$A$24:$A$59,0)),"Check category"))</f>
        <v/>
      </c>
      <c r="L548" s="25">
        <f>IF(A548="","",DATE(YEAR(A548),MONTH(A548),1))</f>
        <v/>
      </c>
      <c r="M548" s="26">
        <f>IF(AND(E548="",F548=""),"",N(E548)-N(F548))</f>
        <v/>
      </c>
      <c r="N548" s="28" t="n"/>
    </row>
    <row r="549">
      <c r="A549" s="27" t="n"/>
      <c r="B549" s="28" t="n"/>
      <c r="C549" s="28" t="n"/>
      <c r="D549" s="28" t="n"/>
      <c r="E549" s="29" t="n"/>
      <c r="F549" s="29" t="n"/>
      <c r="G549" s="28" t="n"/>
      <c r="H549" s="28" t="n"/>
      <c r="I549" s="28" t="n"/>
      <c r="J549" s="28" t="n"/>
      <c r="K549" s="24">
        <f>IF(D549="","",IFERROR(INDEX(Setup!$B$24:$B$59,MATCH(D549,Setup!$A$24:$A$59,0)),"Check category"))</f>
        <v/>
      </c>
      <c r="L549" s="25">
        <f>IF(A549="","",DATE(YEAR(A549),MONTH(A549),1))</f>
        <v/>
      </c>
      <c r="M549" s="26">
        <f>IF(AND(E549="",F549=""),"",N(E549)-N(F549))</f>
        <v/>
      </c>
      <c r="N549" s="28" t="n"/>
    </row>
    <row r="550">
      <c r="A550" s="27" t="n"/>
      <c r="B550" s="28" t="n"/>
      <c r="C550" s="28" t="n"/>
      <c r="D550" s="28" t="n"/>
      <c r="E550" s="29" t="n"/>
      <c r="F550" s="29" t="n"/>
      <c r="G550" s="28" t="n"/>
      <c r="H550" s="28" t="n"/>
      <c r="I550" s="28" t="n"/>
      <c r="J550" s="28" t="n"/>
      <c r="K550" s="24">
        <f>IF(D550="","",IFERROR(INDEX(Setup!$B$24:$B$59,MATCH(D550,Setup!$A$24:$A$59,0)),"Check category"))</f>
        <v/>
      </c>
      <c r="L550" s="25">
        <f>IF(A550="","",DATE(YEAR(A550),MONTH(A550),1))</f>
        <v/>
      </c>
      <c r="M550" s="26">
        <f>IF(AND(E550="",F550=""),"",N(E550)-N(F550))</f>
        <v/>
      </c>
      <c r="N550" s="28" t="n"/>
    </row>
    <row r="551">
      <c r="A551" s="27" t="n"/>
      <c r="B551" s="28" t="n"/>
      <c r="C551" s="28" t="n"/>
      <c r="D551" s="28" t="n"/>
      <c r="E551" s="29" t="n"/>
      <c r="F551" s="29" t="n"/>
      <c r="G551" s="28" t="n"/>
      <c r="H551" s="28" t="n"/>
      <c r="I551" s="28" t="n"/>
      <c r="J551" s="28" t="n"/>
      <c r="K551" s="24">
        <f>IF(D551="","",IFERROR(INDEX(Setup!$B$24:$B$59,MATCH(D551,Setup!$A$24:$A$59,0)),"Check category"))</f>
        <v/>
      </c>
      <c r="L551" s="25">
        <f>IF(A551="","",DATE(YEAR(A551),MONTH(A551),1))</f>
        <v/>
      </c>
      <c r="M551" s="26">
        <f>IF(AND(E551="",F551=""),"",N(E551)-N(F551))</f>
        <v/>
      </c>
      <c r="N551" s="28" t="n"/>
    </row>
    <row r="552">
      <c r="A552" s="27" t="n"/>
      <c r="B552" s="28" t="n"/>
      <c r="C552" s="28" t="n"/>
      <c r="D552" s="28" t="n"/>
      <c r="E552" s="29" t="n"/>
      <c r="F552" s="29" t="n"/>
      <c r="G552" s="28" t="n"/>
      <c r="H552" s="28" t="n"/>
      <c r="I552" s="28" t="n"/>
      <c r="J552" s="28" t="n"/>
      <c r="K552" s="24">
        <f>IF(D552="","",IFERROR(INDEX(Setup!$B$24:$B$59,MATCH(D552,Setup!$A$24:$A$59,0)),"Check category"))</f>
        <v/>
      </c>
      <c r="L552" s="25">
        <f>IF(A552="","",DATE(YEAR(A552),MONTH(A552),1))</f>
        <v/>
      </c>
      <c r="M552" s="26">
        <f>IF(AND(E552="",F552=""),"",N(E552)-N(F552))</f>
        <v/>
      </c>
      <c r="N552" s="28" t="n"/>
    </row>
    <row r="553">
      <c r="A553" s="27" t="n"/>
      <c r="B553" s="28" t="n"/>
      <c r="C553" s="28" t="n"/>
      <c r="D553" s="28" t="n"/>
      <c r="E553" s="29" t="n"/>
      <c r="F553" s="29" t="n"/>
      <c r="G553" s="28" t="n"/>
      <c r="H553" s="28" t="n"/>
      <c r="I553" s="28" t="n"/>
      <c r="J553" s="28" t="n"/>
      <c r="K553" s="24">
        <f>IF(D553="","",IFERROR(INDEX(Setup!$B$24:$B$59,MATCH(D553,Setup!$A$24:$A$59,0)),"Check category"))</f>
        <v/>
      </c>
      <c r="L553" s="25">
        <f>IF(A553="","",DATE(YEAR(A553),MONTH(A553),1))</f>
        <v/>
      </c>
      <c r="M553" s="26">
        <f>IF(AND(E553="",F553=""),"",N(E553)-N(F553))</f>
        <v/>
      </c>
      <c r="N553" s="28" t="n"/>
    </row>
    <row r="554">
      <c r="A554" s="27" t="n"/>
      <c r="B554" s="28" t="n"/>
      <c r="C554" s="28" t="n"/>
      <c r="D554" s="28" t="n"/>
      <c r="E554" s="29" t="n"/>
      <c r="F554" s="29" t="n"/>
      <c r="G554" s="28" t="n"/>
      <c r="H554" s="28" t="n"/>
      <c r="I554" s="28" t="n"/>
      <c r="J554" s="28" t="n"/>
      <c r="K554" s="24">
        <f>IF(D554="","",IFERROR(INDEX(Setup!$B$24:$B$59,MATCH(D554,Setup!$A$24:$A$59,0)),"Check category"))</f>
        <v/>
      </c>
      <c r="L554" s="25">
        <f>IF(A554="","",DATE(YEAR(A554),MONTH(A554),1))</f>
        <v/>
      </c>
      <c r="M554" s="26">
        <f>IF(AND(E554="",F554=""),"",N(E554)-N(F554))</f>
        <v/>
      </c>
      <c r="N554" s="28" t="n"/>
    </row>
    <row r="555">
      <c r="A555" s="27" t="n"/>
      <c r="B555" s="28" t="n"/>
      <c r="C555" s="28" t="n"/>
      <c r="D555" s="28" t="n"/>
      <c r="E555" s="29" t="n"/>
      <c r="F555" s="29" t="n"/>
      <c r="G555" s="28" t="n"/>
      <c r="H555" s="28" t="n"/>
      <c r="I555" s="28" t="n"/>
      <c r="J555" s="28" t="n"/>
      <c r="K555" s="24">
        <f>IF(D555="","",IFERROR(INDEX(Setup!$B$24:$B$59,MATCH(D555,Setup!$A$24:$A$59,0)),"Check category"))</f>
        <v/>
      </c>
      <c r="L555" s="25">
        <f>IF(A555="","",DATE(YEAR(A555),MONTH(A555),1))</f>
        <v/>
      </c>
      <c r="M555" s="26">
        <f>IF(AND(E555="",F555=""),"",N(E555)-N(F555))</f>
        <v/>
      </c>
      <c r="N555" s="28" t="n"/>
    </row>
    <row r="556">
      <c r="A556" s="27" t="n"/>
      <c r="B556" s="28" t="n"/>
      <c r="C556" s="28" t="n"/>
      <c r="D556" s="28" t="n"/>
      <c r="E556" s="29" t="n"/>
      <c r="F556" s="29" t="n"/>
      <c r="G556" s="28" t="n"/>
      <c r="H556" s="28" t="n"/>
      <c r="I556" s="28" t="n"/>
      <c r="J556" s="28" t="n"/>
      <c r="K556" s="24">
        <f>IF(D556="","",IFERROR(INDEX(Setup!$B$24:$B$59,MATCH(D556,Setup!$A$24:$A$59,0)),"Check category"))</f>
        <v/>
      </c>
      <c r="L556" s="25">
        <f>IF(A556="","",DATE(YEAR(A556),MONTH(A556),1))</f>
        <v/>
      </c>
      <c r="M556" s="26">
        <f>IF(AND(E556="",F556=""),"",N(E556)-N(F556))</f>
        <v/>
      </c>
      <c r="N556" s="28" t="n"/>
    </row>
    <row r="557">
      <c r="A557" s="27" t="n"/>
      <c r="B557" s="28" t="n"/>
      <c r="C557" s="28" t="n"/>
      <c r="D557" s="28" t="n"/>
      <c r="E557" s="29" t="n"/>
      <c r="F557" s="29" t="n"/>
      <c r="G557" s="28" t="n"/>
      <c r="H557" s="28" t="n"/>
      <c r="I557" s="28" t="n"/>
      <c r="J557" s="28" t="n"/>
      <c r="K557" s="24">
        <f>IF(D557="","",IFERROR(INDEX(Setup!$B$24:$B$59,MATCH(D557,Setup!$A$24:$A$59,0)),"Check category"))</f>
        <v/>
      </c>
      <c r="L557" s="25">
        <f>IF(A557="","",DATE(YEAR(A557),MONTH(A557),1))</f>
        <v/>
      </c>
      <c r="M557" s="26">
        <f>IF(AND(E557="",F557=""),"",N(E557)-N(F557))</f>
        <v/>
      </c>
      <c r="N557" s="28" t="n"/>
    </row>
    <row r="558">
      <c r="A558" s="27" t="n"/>
      <c r="B558" s="28" t="n"/>
      <c r="C558" s="28" t="n"/>
      <c r="D558" s="28" t="n"/>
      <c r="E558" s="29" t="n"/>
      <c r="F558" s="29" t="n"/>
      <c r="G558" s="28" t="n"/>
      <c r="H558" s="28" t="n"/>
      <c r="I558" s="28" t="n"/>
      <c r="J558" s="28" t="n"/>
      <c r="K558" s="24">
        <f>IF(D558="","",IFERROR(INDEX(Setup!$B$24:$B$59,MATCH(D558,Setup!$A$24:$A$59,0)),"Check category"))</f>
        <v/>
      </c>
      <c r="L558" s="25">
        <f>IF(A558="","",DATE(YEAR(A558),MONTH(A558),1))</f>
        <v/>
      </c>
      <c r="M558" s="26">
        <f>IF(AND(E558="",F558=""),"",N(E558)-N(F558))</f>
        <v/>
      </c>
      <c r="N558" s="28" t="n"/>
    </row>
    <row r="559">
      <c r="A559" s="27" t="n"/>
      <c r="B559" s="28" t="n"/>
      <c r="C559" s="28" t="n"/>
      <c r="D559" s="28" t="n"/>
      <c r="E559" s="29" t="n"/>
      <c r="F559" s="29" t="n"/>
      <c r="G559" s="28" t="n"/>
      <c r="H559" s="28" t="n"/>
      <c r="I559" s="28" t="n"/>
      <c r="J559" s="28" t="n"/>
      <c r="K559" s="24">
        <f>IF(D559="","",IFERROR(INDEX(Setup!$B$24:$B$59,MATCH(D559,Setup!$A$24:$A$59,0)),"Check category"))</f>
        <v/>
      </c>
      <c r="L559" s="25">
        <f>IF(A559="","",DATE(YEAR(A559),MONTH(A559),1))</f>
        <v/>
      </c>
      <c r="M559" s="26">
        <f>IF(AND(E559="",F559=""),"",N(E559)-N(F559))</f>
        <v/>
      </c>
      <c r="N559" s="28" t="n"/>
    </row>
    <row r="560">
      <c r="A560" s="27" t="n"/>
      <c r="B560" s="28" t="n"/>
      <c r="C560" s="28" t="n"/>
      <c r="D560" s="28" t="n"/>
      <c r="E560" s="29" t="n"/>
      <c r="F560" s="29" t="n"/>
      <c r="G560" s="28" t="n"/>
      <c r="H560" s="28" t="n"/>
      <c r="I560" s="28" t="n"/>
      <c r="J560" s="28" t="n"/>
      <c r="K560" s="24">
        <f>IF(D560="","",IFERROR(INDEX(Setup!$B$24:$B$59,MATCH(D560,Setup!$A$24:$A$59,0)),"Check category"))</f>
        <v/>
      </c>
      <c r="L560" s="25">
        <f>IF(A560="","",DATE(YEAR(A560),MONTH(A560),1))</f>
        <v/>
      </c>
      <c r="M560" s="26">
        <f>IF(AND(E560="",F560=""),"",N(E560)-N(F560))</f>
        <v/>
      </c>
      <c r="N560" s="28" t="n"/>
    </row>
    <row r="561">
      <c r="A561" s="27" t="n"/>
      <c r="B561" s="28" t="n"/>
      <c r="C561" s="28" t="n"/>
      <c r="D561" s="28" t="n"/>
      <c r="E561" s="29" t="n"/>
      <c r="F561" s="29" t="n"/>
      <c r="G561" s="28" t="n"/>
      <c r="H561" s="28" t="n"/>
      <c r="I561" s="28" t="n"/>
      <c r="J561" s="28" t="n"/>
      <c r="K561" s="24">
        <f>IF(D561="","",IFERROR(INDEX(Setup!$B$24:$B$59,MATCH(D561,Setup!$A$24:$A$59,0)),"Check category"))</f>
        <v/>
      </c>
      <c r="L561" s="25">
        <f>IF(A561="","",DATE(YEAR(A561),MONTH(A561),1))</f>
        <v/>
      </c>
      <c r="M561" s="26">
        <f>IF(AND(E561="",F561=""),"",N(E561)-N(F561))</f>
        <v/>
      </c>
      <c r="N561" s="28" t="n"/>
    </row>
    <row r="562">
      <c r="A562" s="27" t="n"/>
      <c r="B562" s="28" t="n"/>
      <c r="C562" s="28" t="n"/>
      <c r="D562" s="28" t="n"/>
      <c r="E562" s="29" t="n"/>
      <c r="F562" s="29" t="n"/>
      <c r="G562" s="28" t="n"/>
      <c r="H562" s="28" t="n"/>
      <c r="I562" s="28" t="n"/>
      <c r="J562" s="28" t="n"/>
      <c r="K562" s="24">
        <f>IF(D562="","",IFERROR(INDEX(Setup!$B$24:$B$59,MATCH(D562,Setup!$A$24:$A$59,0)),"Check category"))</f>
        <v/>
      </c>
      <c r="L562" s="25">
        <f>IF(A562="","",DATE(YEAR(A562),MONTH(A562),1))</f>
        <v/>
      </c>
      <c r="M562" s="26">
        <f>IF(AND(E562="",F562=""),"",N(E562)-N(F562))</f>
        <v/>
      </c>
      <c r="N562" s="28" t="n"/>
    </row>
    <row r="563">
      <c r="A563" s="27" t="n"/>
      <c r="B563" s="28" t="n"/>
      <c r="C563" s="28" t="n"/>
      <c r="D563" s="28" t="n"/>
      <c r="E563" s="29" t="n"/>
      <c r="F563" s="29" t="n"/>
      <c r="G563" s="28" t="n"/>
      <c r="H563" s="28" t="n"/>
      <c r="I563" s="28" t="n"/>
      <c r="J563" s="28" t="n"/>
      <c r="K563" s="24">
        <f>IF(D563="","",IFERROR(INDEX(Setup!$B$24:$B$59,MATCH(D563,Setup!$A$24:$A$59,0)),"Check category"))</f>
        <v/>
      </c>
      <c r="L563" s="25">
        <f>IF(A563="","",DATE(YEAR(A563),MONTH(A563),1))</f>
        <v/>
      </c>
      <c r="M563" s="26">
        <f>IF(AND(E563="",F563=""),"",N(E563)-N(F563))</f>
        <v/>
      </c>
      <c r="N563" s="28" t="n"/>
    </row>
    <row r="564">
      <c r="A564" s="27" t="n"/>
      <c r="B564" s="28" t="n"/>
      <c r="C564" s="28" t="n"/>
      <c r="D564" s="28" t="n"/>
      <c r="E564" s="29" t="n"/>
      <c r="F564" s="29" t="n"/>
      <c r="G564" s="28" t="n"/>
      <c r="H564" s="28" t="n"/>
      <c r="I564" s="28" t="n"/>
      <c r="J564" s="28" t="n"/>
      <c r="K564" s="24">
        <f>IF(D564="","",IFERROR(INDEX(Setup!$B$24:$B$59,MATCH(D564,Setup!$A$24:$A$59,0)),"Check category"))</f>
        <v/>
      </c>
      <c r="L564" s="25">
        <f>IF(A564="","",DATE(YEAR(A564),MONTH(A564),1))</f>
        <v/>
      </c>
      <c r="M564" s="26">
        <f>IF(AND(E564="",F564=""),"",N(E564)-N(F564))</f>
        <v/>
      </c>
      <c r="N564" s="28" t="n"/>
    </row>
    <row r="565">
      <c r="A565" s="27" t="n"/>
      <c r="B565" s="28" t="n"/>
      <c r="C565" s="28" t="n"/>
      <c r="D565" s="28" t="n"/>
      <c r="E565" s="29" t="n"/>
      <c r="F565" s="29" t="n"/>
      <c r="G565" s="28" t="n"/>
      <c r="H565" s="28" t="n"/>
      <c r="I565" s="28" t="n"/>
      <c r="J565" s="28" t="n"/>
      <c r="K565" s="24">
        <f>IF(D565="","",IFERROR(INDEX(Setup!$B$24:$B$59,MATCH(D565,Setup!$A$24:$A$59,0)),"Check category"))</f>
        <v/>
      </c>
      <c r="L565" s="25">
        <f>IF(A565="","",DATE(YEAR(A565),MONTH(A565),1))</f>
        <v/>
      </c>
      <c r="M565" s="26">
        <f>IF(AND(E565="",F565=""),"",N(E565)-N(F565))</f>
        <v/>
      </c>
      <c r="N565" s="28" t="n"/>
    </row>
    <row r="566">
      <c r="A566" s="27" t="n"/>
      <c r="B566" s="28" t="n"/>
      <c r="C566" s="28" t="n"/>
      <c r="D566" s="28" t="n"/>
      <c r="E566" s="29" t="n"/>
      <c r="F566" s="29" t="n"/>
      <c r="G566" s="28" t="n"/>
      <c r="H566" s="28" t="n"/>
      <c r="I566" s="28" t="n"/>
      <c r="J566" s="28" t="n"/>
      <c r="K566" s="24">
        <f>IF(D566="","",IFERROR(INDEX(Setup!$B$24:$B$59,MATCH(D566,Setup!$A$24:$A$59,0)),"Check category"))</f>
        <v/>
      </c>
      <c r="L566" s="25">
        <f>IF(A566="","",DATE(YEAR(A566),MONTH(A566),1))</f>
        <v/>
      </c>
      <c r="M566" s="26">
        <f>IF(AND(E566="",F566=""),"",N(E566)-N(F566))</f>
        <v/>
      </c>
      <c r="N566" s="28" t="n"/>
    </row>
    <row r="567">
      <c r="A567" s="27" t="n"/>
      <c r="B567" s="28" t="n"/>
      <c r="C567" s="28" t="n"/>
      <c r="D567" s="28" t="n"/>
      <c r="E567" s="29" t="n"/>
      <c r="F567" s="29" t="n"/>
      <c r="G567" s="28" t="n"/>
      <c r="H567" s="28" t="n"/>
      <c r="I567" s="28" t="n"/>
      <c r="J567" s="28" t="n"/>
      <c r="K567" s="24">
        <f>IF(D567="","",IFERROR(INDEX(Setup!$B$24:$B$59,MATCH(D567,Setup!$A$24:$A$59,0)),"Check category"))</f>
        <v/>
      </c>
      <c r="L567" s="25">
        <f>IF(A567="","",DATE(YEAR(A567),MONTH(A567),1))</f>
        <v/>
      </c>
      <c r="M567" s="26">
        <f>IF(AND(E567="",F567=""),"",N(E567)-N(F567))</f>
        <v/>
      </c>
      <c r="N567" s="28" t="n"/>
    </row>
    <row r="568">
      <c r="A568" s="27" t="n"/>
      <c r="B568" s="28" t="n"/>
      <c r="C568" s="28" t="n"/>
      <c r="D568" s="28" t="n"/>
      <c r="E568" s="29" t="n"/>
      <c r="F568" s="29" t="n"/>
      <c r="G568" s="28" t="n"/>
      <c r="H568" s="28" t="n"/>
      <c r="I568" s="28" t="n"/>
      <c r="J568" s="28" t="n"/>
      <c r="K568" s="24">
        <f>IF(D568="","",IFERROR(INDEX(Setup!$B$24:$B$59,MATCH(D568,Setup!$A$24:$A$59,0)),"Check category"))</f>
        <v/>
      </c>
      <c r="L568" s="25">
        <f>IF(A568="","",DATE(YEAR(A568),MONTH(A568),1))</f>
        <v/>
      </c>
      <c r="M568" s="26">
        <f>IF(AND(E568="",F568=""),"",N(E568)-N(F568))</f>
        <v/>
      </c>
      <c r="N568" s="28" t="n"/>
    </row>
    <row r="569">
      <c r="A569" s="27" t="n"/>
      <c r="B569" s="28" t="n"/>
      <c r="C569" s="28" t="n"/>
      <c r="D569" s="28" t="n"/>
      <c r="E569" s="29" t="n"/>
      <c r="F569" s="29" t="n"/>
      <c r="G569" s="28" t="n"/>
      <c r="H569" s="28" t="n"/>
      <c r="I569" s="28" t="n"/>
      <c r="J569" s="28" t="n"/>
      <c r="K569" s="24">
        <f>IF(D569="","",IFERROR(INDEX(Setup!$B$24:$B$59,MATCH(D569,Setup!$A$24:$A$59,0)),"Check category"))</f>
        <v/>
      </c>
      <c r="L569" s="25">
        <f>IF(A569="","",DATE(YEAR(A569),MONTH(A569),1))</f>
        <v/>
      </c>
      <c r="M569" s="26">
        <f>IF(AND(E569="",F569=""),"",N(E569)-N(F569))</f>
        <v/>
      </c>
      <c r="N569" s="28" t="n"/>
    </row>
    <row r="570">
      <c r="A570" s="27" t="n"/>
      <c r="B570" s="28" t="n"/>
      <c r="C570" s="28" t="n"/>
      <c r="D570" s="28" t="n"/>
      <c r="E570" s="29" t="n"/>
      <c r="F570" s="29" t="n"/>
      <c r="G570" s="28" t="n"/>
      <c r="H570" s="28" t="n"/>
      <c r="I570" s="28" t="n"/>
      <c r="J570" s="28" t="n"/>
      <c r="K570" s="24">
        <f>IF(D570="","",IFERROR(INDEX(Setup!$B$24:$B$59,MATCH(D570,Setup!$A$24:$A$59,0)),"Check category"))</f>
        <v/>
      </c>
      <c r="L570" s="25">
        <f>IF(A570="","",DATE(YEAR(A570),MONTH(A570),1))</f>
        <v/>
      </c>
      <c r="M570" s="26">
        <f>IF(AND(E570="",F570=""),"",N(E570)-N(F570))</f>
        <v/>
      </c>
      <c r="N570" s="28" t="n"/>
    </row>
    <row r="571">
      <c r="A571" s="27" t="n"/>
      <c r="B571" s="28" t="n"/>
      <c r="C571" s="28" t="n"/>
      <c r="D571" s="28" t="n"/>
      <c r="E571" s="29" t="n"/>
      <c r="F571" s="29" t="n"/>
      <c r="G571" s="28" t="n"/>
      <c r="H571" s="28" t="n"/>
      <c r="I571" s="28" t="n"/>
      <c r="J571" s="28" t="n"/>
      <c r="K571" s="24">
        <f>IF(D571="","",IFERROR(INDEX(Setup!$B$24:$B$59,MATCH(D571,Setup!$A$24:$A$59,0)),"Check category"))</f>
        <v/>
      </c>
      <c r="L571" s="25">
        <f>IF(A571="","",DATE(YEAR(A571),MONTH(A571),1))</f>
        <v/>
      </c>
      <c r="M571" s="26">
        <f>IF(AND(E571="",F571=""),"",N(E571)-N(F571))</f>
        <v/>
      </c>
      <c r="N571" s="28" t="n"/>
    </row>
    <row r="572">
      <c r="A572" s="27" t="n"/>
      <c r="B572" s="28" t="n"/>
      <c r="C572" s="28" t="n"/>
      <c r="D572" s="28" t="n"/>
      <c r="E572" s="29" t="n"/>
      <c r="F572" s="29" t="n"/>
      <c r="G572" s="28" t="n"/>
      <c r="H572" s="28" t="n"/>
      <c r="I572" s="28" t="n"/>
      <c r="J572" s="28" t="n"/>
      <c r="K572" s="24">
        <f>IF(D572="","",IFERROR(INDEX(Setup!$B$24:$B$59,MATCH(D572,Setup!$A$24:$A$59,0)),"Check category"))</f>
        <v/>
      </c>
      <c r="L572" s="25">
        <f>IF(A572="","",DATE(YEAR(A572),MONTH(A572),1))</f>
        <v/>
      </c>
      <c r="M572" s="26">
        <f>IF(AND(E572="",F572=""),"",N(E572)-N(F572))</f>
        <v/>
      </c>
      <c r="N572" s="28" t="n"/>
    </row>
    <row r="573">
      <c r="A573" s="27" t="n"/>
      <c r="B573" s="28" t="n"/>
      <c r="C573" s="28" t="n"/>
      <c r="D573" s="28" t="n"/>
      <c r="E573" s="29" t="n"/>
      <c r="F573" s="29" t="n"/>
      <c r="G573" s="28" t="n"/>
      <c r="H573" s="28" t="n"/>
      <c r="I573" s="28" t="n"/>
      <c r="J573" s="28" t="n"/>
      <c r="K573" s="24">
        <f>IF(D573="","",IFERROR(INDEX(Setup!$B$24:$B$59,MATCH(D573,Setup!$A$24:$A$59,0)),"Check category"))</f>
        <v/>
      </c>
      <c r="L573" s="25">
        <f>IF(A573="","",DATE(YEAR(A573),MONTH(A573),1))</f>
        <v/>
      </c>
      <c r="M573" s="26">
        <f>IF(AND(E573="",F573=""),"",N(E573)-N(F573))</f>
        <v/>
      </c>
      <c r="N573" s="28" t="n"/>
    </row>
    <row r="574">
      <c r="A574" s="27" t="n"/>
      <c r="B574" s="28" t="n"/>
      <c r="C574" s="28" t="n"/>
      <c r="D574" s="28" t="n"/>
      <c r="E574" s="29" t="n"/>
      <c r="F574" s="29" t="n"/>
      <c r="G574" s="28" t="n"/>
      <c r="H574" s="28" t="n"/>
      <c r="I574" s="28" t="n"/>
      <c r="J574" s="28" t="n"/>
      <c r="K574" s="24">
        <f>IF(D574="","",IFERROR(INDEX(Setup!$B$24:$B$59,MATCH(D574,Setup!$A$24:$A$59,0)),"Check category"))</f>
        <v/>
      </c>
      <c r="L574" s="25">
        <f>IF(A574="","",DATE(YEAR(A574),MONTH(A574),1))</f>
        <v/>
      </c>
      <c r="M574" s="26">
        <f>IF(AND(E574="",F574=""),"",N(E574)-N(F574))</f>
        <v/>
      </c>
      <c r="N574" s="28" t="n"/>
    </row>
    <row r="575">
      <c r="A575" s="27" t="n"/>
      <c r="B575" s="28" t="n"/>
      <c r="C575" s="28" t="n"/>
      <c r="D575" s="28" t="n"/>
      <c r="E575" s="29" t="n"/>
      <c r="F575" s="29" t="n"/>
      <c r="G575" s="28" t="n"/>
      <c r="H575" s="28" t="n"/>
      <c r="I575" s="28" t="n"/>
      <c r="J575" s="28" t="n"/>
      <c r="K575" s="24">
        <f>IF(D575="","",IFERROR(INDEX(Setup!$B$24:$B$59,MATCH(D575,Setup!$A$24:$A$59,0)),"Check category"))</f>
        <v/>
      </c>
      <c r="L575" s="25">
        <f>IF(A575="","",DATE(YEAR(A575),MONTH(A575),1))</f>
        <v/>
      </c>
      <c r="M575" s="26">
        <f>IF(AND(E575="",F575=""),"",N(E575)-N(F575))</f>
        <v/>
      </c>
      <c r="N575" s="28" t="n"/>
    </row>
    <row r="576">
      <c r="A576" s="27" t="n"/>
      <c r="B576" s="28" t="n"/>
      <c r="C576" s="28" t="n"/>
      <c r="D576" s="28" t="n"/>
      <c r="E576" s="29" t="n"/>
      <c r="F576" s="29" t="n"/>
      <c r="G576" s="28" t="n"/>
      <c r="H576" s="28" t="n"/>
      <c r="I576" s="28" t="n"/>
      <c r="J576" s="28" t="n"/>
      <c r="K576" s="24">
        <f>IF(D576="","",IFERROR(INDEX(Setup!$B$24:$B$59,MATCH(D576,Setup!$A$24:$A$59,0)),"Check category"))</f>
        <v/>
      </c>
      <c r="L576" s="25">
        <f>IF(A576="","",DATE(YEAR(A576),MONTH(A576),1))</f>
        <v/>
      </c>
      <c r="M576" s="26">
        <f>IF(AND(E576="",F576=""),"",N(E576)-N(F576))</f>
        <v/>
      </c>
      <c r="N576" s="28" t="n"/>
    </row>
    <row r="577">
      <c r="A577" s="27" t="n"/>
      <c r="B577" s="28" t="n"/>
      <c r="C577" s="28" t="n"/>
      <c r="D577" s="28" t="n"/>
      <c r="E577" s="29" t="n"/>
      <c r="F577" s="29" t="n"/>
      <c r="G577" s="28" t="n"/>
      <c r="H577" s="28" t="n"/>
      <c r="I577" s="28" t="n"/>
      <c r="J577" s="28" t="n"/>
      <c r="K577" s="24">
        <f>IF(D577="","",IFERROR(INDEX(Setup!$B$24:$B$59,MATCH(D577,Setup!$A$24:$A$59,0)),"Check category"))</f>
        <v/>
      </c>
      <c r="L577" s="25">
        <f>IF(A577="","",DATE(YEAR(A577),MONTH(A577),1))</f>
        <v/>
      </c>
      <c r="M577" s="26">
        <f>IF(AND(E577="",F577=""),"",N(E577)-N(F577))</f>
        <v/>
      </c>
      <c r="N577" s="28" t="n"/>
    </row>
    <row r="578">
      <c r="A578" s="27" t="n"/>
      <c r="B578" s="28" t="n"/>
      <c r="C578" s="28" t="n"/>
      <c r="D578" s="28" t="n"/>
      <c r="E578" s="29" t="n"/>
      <c r="F578" s="29" t="n"/>
      <c r="G578" s="28" t="n"/>
      <c r="H578" s="28" t="n"/>
      <c r="I578" s="28" t="n"/>
      <c r="J578" s="28" t="n"/>
      <c r="K578" s="24">
        <f>IF(D578="","",IFERROR(INDEX(Setup!$B$24:$B$59,MATCH(D578,Setup!$A$24:$A$59,0)),"Check category"))</f>
        <v/>
      </c>
      <c r="L578" s="25">
        <f>IF(A578="","",DATE(YEAR(A578),MONTH(A578),1))</f>
        <v/>
      </c>
      <c r="M578" s="26">
        <f>IF(AND(E578="",F578=""),"",N(E578)-N(F578))</f>
        <v/>
      </c>
      <c r="N578" s="28" t="n"/>
    </row>
    <row r="579">
      <c r="A579" s="27" t="n"/>
      <c r="B579" s="28" t="n"/>
      <c r="C579" s="28" t="n"/>
      <c r="D579" s="28" t="n"/>
      <c r="E579" s="29" t="n"/>
      <c r="F579" s="29" t="n"/>
      <c r="G579" s="28" t="n"/>
      <c r="H579" s="28" t="n"/>
      <c r="I579" s="28" t="n"/>
      <c r="J579" s="28" t="n"/>
      <c r="K579" s="24">
        <f>IF(D579="","",IFERROR(INDEX(Setup!$B$24:$B$59,MATCH(D579,Setup!$A$24:$A$59,0)),"Check category"))</f>
        <v/>
      </c>
      <c r="L579" s="25">
        <f>IF(A579="","",DATE(YEAR(A579),MONTH(A579),1))</f>
        <v/>
      </c>
      <c r="M579" s="26">
        <f>IF(AND(E579="",F579=""),"",N(E579)-N(F579))</f>
        <v/>
      </c>
      <c r="N579" s="28" t="n"/>
    </row>
    <row r="580">
      <c r="A580" s="27" t="n"/>
      <c r="B580" s="28" t="n"/>
      <c r="C580" s="28" t="n"/>
      <c r="D580" s="28" t="n"/>
      <c r="E580" s="29" t="n"/>
      <c r="F580" s="29" t="n"/>
      <c r="G580" s="28" t="n"/>
      <c r="H580" s="28" t="n"/>
      <c r="I580" s="28" t="n"/>
      <c r="J580" s="28" t="n"/>
      <c r="K580" s="24">
        <f>IF(D580="","",IFERROR(INDEX(Setup!$B$24:$B$59,MATCH(D580,Setup!$A$24:$A$59,0)),"Check category"))</f>
        <v/>
      </c>
      <c r="L580" s="25">
        <f>IF(A580="","",DATE(YEAR(A580),MONTH(A580),1))</f>
        <v/>
      </c>
      <c r="M580" s="26">
        <f>IF(AND(E580="",F580=""),"",N(E580)-N(F580))</f>
        <v/>
      </c>
      <c r="N580" s="28" t="n"/>
    </row>
    <row r="581">
      <c r="A581" s="27" t="n"/>
      <c r="B581" s="28" t="n"/>
      <c r="C581" s="28" t="n"/>
      <c r="D581" s="28" t="n"/>
      <c r="E581" s="29" t="n"/>
      <c r="F581" s="29" t="n"/>
      <c r="G581" s="28" t="n"/>
      <c r="H581" s="28" t="n"/>
      <c r="I581" s="28" t="n"/>
      <c r="J581" s="28" t="n"/>
      <c r="K581" s="24">
        <f>IF(D581="","",IFERROR(INDEX(Setup!$B$24:$B$59,MATCH(D581,Setup!$A$24:$A$59,0)),"Check category"))</f>
        <v/>
      </c>
      <c r="L581" s="25">
        <f>IF(A581="","",DATE(YEAR(A581),MONTH(A581),1))</f>
        <v/>
      </c>
      <c r="M581" s="26">
        <f>IF(AND(E581="",F581=""),"",N(E581)-N(F581))</f>
        <v/>
      </c>
      <c r="N581" s="28" t="n"/>
    </row>
    <row r="582">
      <c r="A582" s="27" t="n"/>
      <c r="B582" s="28" t="n"/>
      <c r="C582" s="28" t="n"/>
      <c r="D582" s="28" t="n"/>
      <c r="E582" s="29" t="n"/>
      <c r="F582" s="29" t="n"/>
      <c r="G582" s="28" t="n"/>
      <c r="H582" s="28" t="n"/>
      <c r="I582" s="28" t="n"/>
      <c r="J582" s="28" t="n"/>
      <c r="K582" s="24">
        <f>IF(D582="","",IFERROR(INDEX(Setup!$B$24:$B$59,MATCH(D582,Setup!$A$24:$A$59,0)),"Check category"))</f>
        <v/>
      </c>
      <c r="L582" s="25">
        <f>IF(A582="","",DATE(YEAR(A582),MONTH(A582),1))</f>
        <v/>
      </c>
      <c r="M582" s="26">
        <f>IF(AND(E582="",F582=""),"",N(E582)-N(F582))</f>
        <v/>
      </c>
      <c r="N582" s="28" t="n"/>
    </row>
    <row r="583">
      <c r="A583" s="27" t="n"/>
      <c r="B583" s="28" t="n"/>
      <c r="C583" s="28" t="n"/>
      <c r="D583" s="28" t="n"/>
      <c r="E583" s="29" t="n"/>
      <c r="F583" s="29" t="n"/>
      <c r="G583" s="28" t="n"/>
      <c r="H583" s="28" t="n"/>
      <c r="I583" s="28" t="n"/>
      <c r="J583" s="28" t="n"/>
      <c r="K583" s="24">
        <f>IF(D583="","",IFERROR(INDEX(Setup!$B$24:$B$59,MATCH(D583,Setup!$A$24:$A$59,0)),"Check category"))</f>
        <v/>
      </c>
      <c r="L583" s="25">
        <f>IF(A583="","",DATE(YEAR(A583),MONTH(A583),1))</f>
        <v/>
      </c>
      <c r="M583" s="26">
        <f>IF(AND(E583="",F583=""),"",N(E583)-N(F583))</f>
        <v/>
      </c>
      <c r="N583" s="28" t="n"/>
    </row>
    <row r="584">
      <c r="A584" s="27" t="n"/>
      <c r="B584" s="28" t="n"/>
      <c r="C584" s="28" t="n"/>
      <c r="D584" s="28" t="n"/>
      <c r="E584" s="29" t="n"/>
      <c r="F584" s="29" t="n"/>
      <c r="G584" s="28" t="n"/>
      <c r="H584" s="28" t="n"/>
      <c r="I584" s="28" t="n"/>
      <c r="J584" s="28" t="n"/>
      <c r="K584" s="24">
        <f>IF(D584="","",IFERROR(INDEX(Setup!$B$24:$B$59,MATCH(D584,Setup!$A$24:$A$59,0)),"Check category"))</f>
        <v/>
      </c>
      <c r="L584" s="25">
        <f>IF(A584="","",DATE(YEAR(A584),MONTH(A584),1))</f>
        <v/>
      </c>
      <c r="M584" s="26">
        <f>IF(AND(E584="",F584=""),"",N(E584)-N(F584))</f>
        <v/>
      </c>
      <c r="N584" s="28" t="n"/>
    </row>
    <row r="585">
      <c r="A585" s="27" t="n"/>
      <c r="B585" s="28" t="n"/>
      <c r="C585" s="28" t="n"/>
      <c r="D585" s="28" t="n"/>
      <c r="E585" s="29" t="n"/>
      <c r="F585" s="29" t="n"/>
      <c r="G585" s="28" t="n"/>
      <c r="H585" s="28" t="n"/>
      <c r="I585" s="28" t="n"/>
      <c r="J585" s="28" t="n"/>
      <c r="K585" s="24">
        <f>IF(D585="","",IFERROR(INDEX(Setup!$B$24:$B$59,MATCH(D585,Setup!$A$24:$A$59,0)),"Check category"))</f>
        <v/>
      </c>
      <c r="L585" s="25">
        <f>IF(A585="","",DATE(YEAR(A585),MONTH(A585),1))</f>
        <v/>
      </c>
      <c r="M585" s="26">
        <f>IF(AND(E585="",F585=""),"",N(E585)-N(F585))</f>
        <v/>
      </c>
      <c r="N585" s="28" t="n"/>
    </row>
    <row r="586">
      <c r="A586" s="27" t="n"/>
      <c r="B586" s="28" t="n"/>
      <c r="C586" s="28" t="n"/>
      <c r="D586" s="28" t="n"/>
      <c r="E586" s="29" t="n"/>
      <c r="F586" s="29" t="n"/>
      <c r="G586" s="28" t="n"/>
      <c r="H586" s="28" t="n"/>
      <c r="I586" s="28" t="n"/>
      <c r="J586" s="28" t="n"/>
      <c r="K586" s="24">
        <f>IF(D586="","",IFERROR(INDEX(Setup!$B$24:$B$59,MATCH(D586,Setup!$A$24:$A$59,0)),"Check category"))</f>
        <v/>
      </c>
      <c r="L586" s="25">
        <f>IF(A586="","",DATE(YEAR(A586),MONTH(A586),1))</f>
        <v/>
      </c>
      <c r="M586" s="26">
        <f>IF(AND(E586="",F586=""),"",N(E586)-N(F586))</f>
        <v/>
      </c>
      <c r="N586" s="28" t="n"/>
    </row>
    <row r="587">
      <c r="A587" s="27" t="n"/>
      <c r="B587" s="28" t="n"/>
      <c r="C587" s="28" t="n"/>
      <c r="D587" s="28" t="n"/>
      <c r="E587" s="29" t="n"/>
      <c r="F587" s="29" t="n"/>
      <c r="G587" s="28" t="n"/>
      <c r="H587" s="28" t="n"/>
      <c r="I587" s="28" t="n"/>
      <c r="J587" s="28" t="n"/>
      <c r="K587" s="24">
        <f>IF(D587="","",IFERROR(INDEX(Setup!$B$24:$B$59,MATCH(D587,Setup!$A$24:$A$59,0)),"Check category"))</f>
        <v/>
      </c>
      <c r="L587" s="25">
        <f>IF(A587="","",DATE(YEAR(A587),MONTH(A587),1))</f>
        <v/>
      </c>
      <c r="M587" s="26">
        <f>IF(AND(E587="",F587=""),"",N(E587)-N(F587))</f>
        <v/>
      </c>
      <c r="N587" s="28" t="n"/>
    </row>
    <row r="588">
      <c r="A588" s="27" t="n"/>
      <c r="B588" s="28" t="n"/>
      <c r="C588" s="28" t="n"/>
      <c r="D588" s="28" t="n"/>
      <c r="E588" s="29" t="n"/>
      <c r="F588" s="29" t="n"/>
      <c r="G588" s="28" t="n"/>
      <c r="H588" s="28" t="n"/>
      <c r="I588" s="28" t="n"/>
      <c r="J588" s="28" t="n"/>
      <c r="K588" s="24">
        <f>IF(D588="","",IFERROR(INDEX(Setup!$B$24:$B$59,MATCH(D588,Setup!$A$24:$A$59,0)),"Check category"))</f>
        <v/>
      </c>
      <c r="L588" s="25">
        <f>IF(A588="","",DATE(YEAR(A588),MONTH(A588),1))</f>
        <v/>
      </c>
      <c r="M588" s="26">
        <f>IF(AND(E588="",F588=""),"",N(E588)-N(F588))</f>
        <v/>
      </c>
      <c r="N588" s="28" t="n"/>
    </row>
    <row r="589">
      <c r="A589" s="27" t="n"/>
      <c r="B589" s="28" t="n"/>
      <c r="C589" s="28" t="n"/>
      <c r="D589" s="28" t="n"/>
      <c r="E589" s="29" t="n"/>
      <c r="F589" s="29" t="n"/>
      <c r="G589" s="28" t="n"/>
      <c r="H589" s="28" t="n"/>
      <c r="I589" s="28" t="n"/>
      <c r="J589" s="28" t="n"/>
      <c r="K589" s="24">
        <f>IF(D589="","",IFERROR(INDEX(Setup!$B$24:$B$59,MATCH(D589,Setup!$A$24:$A$59,0)),"Check category"))</f>
        <v/>
      </c>
      <c r="L589" s="25">
        <f>IF(A589="","",DATE(YEAR(A589),MONTH(A589),1))</f>
        <v/>
      </c>
      <c r="M589" s="26">
        <f>IF(AND(E589="",F589=""),"",N(E589)-N(F589))</f>
        <v/>
      </c>
      <c r="N589" s="28" t="n"/>
    </row>
    <row r="590">
      <c r="A590" s="27" t="n"/>
      <c r="B590" s="28" t="n"/>
      <c r="C590" s="28" t="n"/>
      <c r="D590" s="28" t="n"/>
      <c r="E590" s="29" t="n"/>
      <c r="F590" s="29" t="n"/>
      <c r="G590" s="28" t="n"/>
      <c r="H590" s="28" t="n"/>
      <c r="I590" s="28" t="n"/>
      <c r="J590" s="28" t="n"/>
      <c r="K590" s="24">
        <f>IF(D590="","",IFERROR(INDEX(Setup!$B$24:$B$59,MATCH(D590,Setup!$A$24:$A$59,0)),"Check category"))</f>
        <v/>
      </c>
      <c r="L590" s="25">
        <f>IF(A590="","",DATE(YEAR(A590),MONTH(A590),1))</f>
        <v/>
      </c>
      <c r="M590" s="26">
        <f>IF(AND(E590="",F590=""),"",N(E590)-N(F590))</f>
        <v/>
      </c>
      <c r="N590" s="28" t="n"/>
    </row>
    <row r="591">
      <c r="A591" s="27" t="n"/>
      <c r="B591" s="28" t="n"/>
      <c r="C591" s="28" t="n"/>
      <c r="D591" s="28" t="n"/>
      <c r="E591" s="29" t="n"/>
      <c r="F591" s="29" t="n"/>
      <c r="G591" s="28" t="n"/>
      <c r="H591" s="28" t="n"/>
      <c r="I591" s="28" t="n"/>
      <c r="J591" s="28" t="n"/>
      <c r="K591" s="24">
        <f>IF(D591="","",IFERROR(INDEX(Setup!$B$24:$B$59,MATCH(D591,Setup!$A$24:$A$59,0)),"Check category"))</f>
        <v/>
      </c>
      <c r="L591" s="25">
        <f>IF(A591="","",DATE(YEAR(A591),MONTH(A591),1))</f>
        <v/>
      </c>
      <c r="M591" s="26">
        <f>IF(AND(E591="",F591=""),"",N(E591)-N(F591))</f>
        <v/>
      </c>
      <c r="N591" s="28" t="n"/>
    </row>
    <row r="592">
      <c r="A592" s="27" t="n"/>
      <c r="B592" s="28" t="n"/>
      <c r="C592" s="28" t="n"/>
      <c r="D592" s="28" t="n"/>
      <c r="E592" s="29" t="n"/>
      <c r="F592" s="29" t="n"/>
      <c r="G592" s="28" t="n"/>
      <c r="H592" s="28" t="n"/>
      <c r="I592" s="28" t="n"/>
      <c r="J592" s="28" t="n"/>
      <c r="K592" s="24">
        <f>IF(D592="","",IFERROR(INDEX(Setup!$B$24:$B$59,MATCH(D592,Setup!$A$24:$A$59,0)),"Check category"))</f>
        <v/>
      </c>
      <c r="L592" s="25">
        <f>IF(A592="","",DATE(YEAR(A592),MONTH(A592),1))</f>
        <v/>
      </c>
      <c r="M592" s="26">
        <f>IF(AND(E592="",F592=""),"",N(E592)-N(F592))</f>
        <v/>
      </c>
      <c r="N592" s="28" t="n"/>
    </row>
    <row r="593">
      <c r="A593" s="27" t="n"/>
      <c r="B593" s="28" t="n"/>
      <c r="C593" s="28" t="n"/>
      <c r="D593" s="28" t="n"/>
      <c r="E593" s="29" t="n"/>
      <c r="F593" s="29" t="n"/>
      <c r="G593" s="28" t="n"/>
      <c r="H593" s="28" t="n"/>
      <c r="I593" s="28" t="n"/>
      <c r="J593" s="28" t="n"/>
      <c r="K593" s="24">
        <f>IF(D593="","",IFERROR(INDEX(Setup!$B$24:$B$59,MATCH(D593,Setup!$A$24:$A$59,0)),"Check category"))</f>
        <v/>
      </c>
      <c r="L593" s="25">
        <f>IF(A593="","",DATE(YEAR(A593),MONTH(A593),1))</f>
        <v/>
      </c>
      <c r="M593" s="26">
        <f>IF(AND(E593="",F593=""),"",N(E593)-N(F593))</f>
        <v/>
      </c>
      <c r="N593" s="28" t="n"/>
    </row>
    <row r="594">
      <c r="A594" s="27" t="n"/>
      <c r="B594" s="28" t="n"/>
      <c r="C594" s="28" t="n"/>
      <c r="D594" s="28" t="n"/>
      <c r="E594" s="29" t="n"/>
      <c r="F594" s="29" t="n"/>
      <c r="G594" s="28" t="n"/>
      <c r="H594" s="28" t="n"/>
      <c r="I594" s="28" t="n"/>
      <c r="J594" s="28" t="n"/>
      <c r="K594" s="24">
        <f>IF(D594="","",IFERROR(INDEX(Setup!$B$24:$B$59,MATCH(D594,Setup!$A$24:$A$59,0)),"Check category"))</f>
        <v/>
      </c>
      <c r="L594" s="25">
        <f>IF(A594="","",DATE(YEAR(A594),MONTH(A594),1))</f>
        <v/>
      </c>
      <c r="M594" s="26">
        <f>IF(AND(E594="",F594=""),"",N(E594)-N(F594))</f>
        <v/>
      </c>
      <c r="N594" s="28" t="n"/>
    </row>
    <row r="595">
      <c r="A595" s="27" t="n"/>
      <c r="B595" s="28" t="n"/>
      <c r="C595" s="28" t="n"/>
      <c r="D595" s="28" t="n"/>
      <c r="E595" s="29" t="n"/>
      <c r="F595" s="29" t="n"/>
      <c r="G595" s="28" t="n"/>
      <c r="H595" s="28" t="n"/>
      <c r="I595" s="28" t="n"/>
      <c r="J595" s="28" t="n"/>
      <c r="K595" s="24">
        <f>IF(D595="","",IFERROR(INDEX(Setup!$B$24:$B$59,MATCH(D595,Setup!$A$24:$A$59,0)),"Check category"))</f>
        <v/>
      </c>
      <c r="L595" s="25">
        <f>IF(A595="","",DATE(YEAR(A595),MONTH(A595),1))</f>
        <v/>
      </c>
      <c r="M595" s="26">
        <f>IF(AND(E595="",F595=""),"",N(E595)-N(F595))</f>
        <v/>
      </c>
      <c r="N595" s="28" t="n"/>
    </row>
    <row r="596">
      <c r="A596" s="27" t="n"/>
      <c r="B596" s="28" t="n"/>
      <c r="C596" s="28" t="n"/>
      <c r="D596" s="28" t="n"/>
      <c r="E596" s="29" t="n"/>
      <c r="F596" s="29" t="n"/>
      <c r="G596" s="28" t="n"/>
      <c r="H596" s="28" t="n"/>
      <c r="I596" s="28" t="n"/>
      <c r="J596" s="28" t="n"/>
      <c r="K596" s="24">
        <f>IF(D596="","",IFERROR(INDEX(Setup!$B$24:$B$59,MATCH(D596,Setup!$A$24:$A$59,0)),"Check category"))</f>
        <v/>
      </c>
      <c r="L596" s="25">
        <f>IF(A596="","",DATE(YEAR(A596),MONTH(A596),1))</f>
        <v/>
      </c>
      <c r="M596" s="26">
        <f>IF(AND(E596="",F596=""),"",N(E596)-N(F596))</f>
        <v/>
      </c>
      <c r="N596" s="28" t="n"/>
    </row>
    <row r="597">
      <c r="A597" s="27" t="n"/>
      <c r="B597" s="28" t="n"/>
      <c r="C597" s="28" t="n"/>
      <c r="D597" s="28" t="n"/>
      <c r="E597" s="29" t="n"/>
      <c r="F597" s="29" t="n"/>
      <c r="G597" s="28" t="n"/>
      <c r="H597" s="28" t="n"/>
      <c r="I597" s="28" t="n"/>
      <c r="J597" s="28" t="n"/>
      <c r="K597" s="24">
        <f>IF(D597="","",IFERROR(INDEX(Setup!$B$24:$B$59,MATCH(D597,Setup!$A$24:$A$59,0)),"Check category"))</f>
        <v/>
      </c>
      <c r="L597" s="25">
        <f>IF(A597="","",DATE(YEAR(A597),MONTH(A597),1))</f>
        <v/>
      </c>
      <c r="M597" s="26">
        <f>IF(AND(E597="",F597=""),"",N(E597)-N(F597))</f>
        <v/>
      </c>
      <c r="N597" s="28" t="n"/>
    </row>
    <row r="598">
      <c r="A598" s="27" t="n"/>
      <c r="B598" s="28" t="n"/>
      <c r="C598" s="28" t="n"/>
      <c r="D598" s="28" t="n"/>
      <c r="E598" s="29" t="n"/>
      <c r="F598" s="29" t="n"/>
      <c r="G598" s="28" t="n"/>
      <c r="H598" s="28" t="n"/>
      <c r="I598" s="28" t="n"/>
      <c r="J598" s="28" t="n"/>
      <c r="K598" s="24">
        <f>IF(D598="","",IFERROR(INDEX(Setup!$B$24:$B$59,MATCH(D598,Setup!$A$24:$A$59,0)),"Check category"))</f>
        <v/>
      </c>
      <c r="L598" s="25">
        <f>IF(A598="","",DATE(YEAR(A598),MONTH(A598),1))</f>
        <v/>
      </c>
      <c r="M598" s="26">
        <f>IF(AND(E598="",F598=""),"",N(E598)-N(F598))</f>
        <v/>
      </c>
      <c r="N598" s="28" t="n"/>
    </row>
    <row r="599">
      <c r="A599" s="27" t="n"/>
      <c r="B599" s="28" t="n"/>
      <c r="C599" s="28" t="n"/>
      <c r="D599" s="28" t="n"/>
      <c r="E599" s="29" t="n"/>
      <c r="F599" s="29" t="n"/>
      <c r="G599" s="28" t="n"/>
      <c r="H599" s="28" t="n"/>
      <c r="I599" s="28" t="n"/>
      <c r="J599" s="28" t="n"/>
      <c r="K599" s="24">
        <f>IF(D599="","",IFERROR(INDEX(Setup!$B$24:$B$59,MATCH(D599,Setup!$A$24:$A$59,0)),"Check category"))</f>
        <v/>
      </c>
      <c r="L599" s="25">
        <f>IF(A599="","",DATE(YEAR(A599),MONTH(A599),1))</f>
        <v/>
      </c>
      <c r="M599" s="26">
        <f>IF(AND(E599="",F599=""),"",N(E599)-N(F599))</f>
        <v/>
      </c>
      <c r="N599" s="28" t="n"/>
    </row>
    <row r="600">
      <c r="A600" s="27" t="n"/>
      <c r="B600" s="28" t="n"/>
      <c r="C600" s="28" t="n"/>
      <c r="D600" s="28" t="n"/>
      <c r="E600" s="29" t="n"/>
      <c r="F600" s="29" t="n"/>
      <c r="G600" s="28" t="n"/>
      <c r="H600" s="28" t="n"/>
      <c r="I600" s="28" t="n"/>
      <c r="J600" s="28" t="n"/>
      <c r="K600" s="24">
        <f>IF(D600="","",IFERROR(INDEX(Setup!$B$24:$B$59,MATCH(D600,Setup!$A$24:$A$59,0)),"Check category"))</f>
        <v/>
      </c>
      <c r="L600" s="25">
        <f>IF(A600="","",DATE(YEAR(A600),MONTH(A600),1))</f>
        <v/>
      </c>
      <c r="M600" s="26">
        <f>IF(AND(E600="",F600=""),"",N(E600)-N(F600))</f>
        <v/>
      </c>
      <c r="N600" s="28" t="n"/>
    </row>
    <row r="601">
      <c r="A601" s="27" t="n"/>
      <c r="B601" s="28" t="n"/>
      <c r="C601" s="28" t="n"/>
      <c r="D601" s="28" t="n"/>
      <c r="E601" s="29" t="n"/>
      <c r="F601" s="29" t="n"/>
      <c r="G601" s="28" t="n"/>
      <c r="H601" s="28" t="n"/>
      <c r="I601" s="28" t="n"/>
      <c r="J601" s="28" t="n"/>
      <c r="K601" s="24">
        <f>IF(D601="","",IFERROR(INDEX(Setup!$B$24:$B$59,MATCH(D601,Setup!$A$24:$A$59,0)),"Check category"))</f>
        <v/>
      </c>
      <c r="L601" s="25">
        <f>IF(A601="","",DATE(YEAR(A601),MONTH(A601),1))</f>
        <v/>
      </c>
      <c r="M601" s="26">
        <f>IF(AND(E601="",F601=""),"",N(E601)-N(F601))</f>
        <v/>
      </c>
      <c r="N601" s="28" t="n"/>
    </row>
    <row r="602">
      <c r="A602" s="27" t="n"/>
      <c r="B602" s="28" t="n"/>
      <c r="C602" s="28" t="n"/>
      <c r="D602" s="28" t="n"/>
      <c r="E602" s="29" t="n"/>
      <c r="F602" s="29" t="n"/>
      <c r="G602" s="28" t="n"/>
      <c r="H602" s="28" t="n"/>
      <c r="I602" s="28" t="n"/>
      <c r="J602" s="28" t="n"/>
      <c r="K602" s="24">
        <f>IF(D602="","",IFERROR(INDEX(Setup!$B$24:$B$59,MATCH(D602,Setup!$A$24:$A$59,0)),"Check category"))</f>
        <v/>
      </c>
      <c r="L602" s="25">
        <f>IF(A602="","",DATE(YEAR(A602),MONTH(A602),1))</f>
        <v/>
      </c>
      <c r="M602" s="26">
        <f>IF(AND(E602="",F602=""),"",N(E602)-N(F602))</f>
        <v/>
      </c>
      <c r="N602" s="28" t="n"/>
    </row>
    <row r="603">
      <c r="A603" s="27" t="n"/>
      <c r="B603" s="28" t="n"/>
      <c r="C603" s="28" t="n"/>
      <c r="D603" s="28" t="n"/>
      <c r="E603" s="29" t="n"/>
      <c r="F603" s="29" t="n"/>
      <c r="G603" s="28" t="n"/>
      <c r="H603" s="28" t="n"/>
      <c r="I603" s="28" t="n"/>
      <c r="J603" s="28" t="n"/>
      <c r="K603" s="24">
        <f>IF(D603="","",IFERROR(INDEX(Setup!$B$24:$B$59,MATCH(D603,Setup!$A$24:$A$59,0)),"Check category"))</f>
        <v/>
      </c>
      <c r="L603" s="25">
        <f>IF(A603="","",DATE(YEAR(A603),MONTH(A603),1))</f>
        <v/>
      </c>
      <c r="M603" s="26">
        <f>IF(AND(E603="",F603=""),"",N(E603)-N(F603))</f>
        <v/>
      </c>
      <c r="N603" s="28" t="n"/>
    </row>
    <row r="604">
      <c r="A604" s="27" t="n"/>
      <c r="B604" s="28" t="n"/>
      <c r="C604" s="28" t="n"/>
      <c r="D604" s="28" t="n"/>
      <c r="E604" s="29" t="n"/>
      <c r="F604" s="29" t="n"/>
      <c r="G604" s="28" t="n"/>
      <c r="H604" s="28" t="n"/>
      <c r="I604" s="28" t="n"/>
      <c r="J604" s="28" t="n"/>
      <c r="K604" s="24">
        <f>IF(D604="","",IFERROR(INDEX(Setup!$B$24:$B$59,MATCH(D604,Setup!$A$24:$A$59,0)),"Check category"))</f>
        <v/>
      </c>
      <c r="L604" s="25">
        <f>IF(A604="","",DATE(YEAR(A604),MONTH(A604),1))</f>
        <v/>
      </c>
      <c r="M604" s="26">
        <f>IF(AND(E604="",F604=""),"",N(E604)-N(F604))</f>
        <v/>
      </c>
      <c r="N604" s="28" t="n"/>
    </row>
    <row r="605">
      <c r="A605" s="27" t="n"/>
      <c r="B605" s="28" t="n"/>
      <c r="C605" s="28" t="n"/>
      <c r="D605" s="28" t="n"/>
      <c r="E605" s="29" t="n"/>
      <c r="F605" s="29" t="n"/>
      <c r="G605" s="28" t="n"/>
      <c r="H605" s="28" t="n"/>
      <c r="I605" s="28" t="n"/>
      <c r="J605" s="28" t="n"/>
      <c r="K605" s="24">
        <f>IF(D605="","",IFERROR(INDEX(Setup!$B$24:$B$59,MATCH(D605,Setup!$A$24:$A$59,0)),"Check category"))</f>
        <v/>
      </c>
      <c r="L605" s="25">
        <f>IF(A605="","",DATE(YEAR(A605),MONTH(A605),1))</f>
        <v/>
      </c>
      <c r="M605" s="26">
        <f>IF(AND(E605="",F605=""),"",N(E605)-N(F605))</f>
        <v/>
      </c>
      <c r="N605" s="28" t="n"/>
    </row>
    <row r="606">
      <c r="A606" s="27" t="n"/>
      <c r="B606" s="28" t="n"/>
      <c r="C606" s="28" t="n"/>
      <c r="D606" s="28" t="n"/>
      <c r="E606" s="29" t="n"/>
      <c r="F606" s="29" t="n"/>
      <c r="G606" s="28" t="n"/>
      <c r="H606" s="28" t="n"/>
      <c r="I606" s="28" t="n"/>
      <c r="J606" s="28" t="n"/>
      <c r="K606" s="24">
        <f>IF(D606="","",IFERROR(INDEX(Setup!$B$24:$B$59,MATCH(D606,Setup!$A$24:$A$59,0)),"Check category"))</f>
        <v/>
      </c>
      <c r="L606" s="25">
        <f>IF(A606="","",DATE(YEAR(A606),MONTH(A606),1))</f>
        <v/>
      </c>
      <c r="M606" s="26">
        <f>IF(AND(E606="",F606=""),"",N(E606)-N(F606))</f>
        <v/>
      </c>
      <c r="N606" s="28" t="n"/>
    </row>
    <row r="607">
      <c r="A607" s="27" t="n"/>
      <c r="B607" s="28" t="n"/>
      <c r="C607" s="28" t="n"/>
      <c r="D607" s="28" t="n"/>
      <c r="E607" s="29" t="n"/>
      <c r="F607" s="29" t="n"/>
      <c r="G607" s="28" t="n"/>
      <c r="H607" s="28" t="n"/>
      <c r="I607" s="28" t="n"/>
      <c r="J607" s="28" t="n"/>
      <c r="K607" s="24">
        <f>IF(D607="","",IFERROR(INDEX(Setup!$B$24:$B$59,MATCH(D607,Setup!$A$24:$A$59,0)),"Check category"))</f>
        <v/>
      </c>
      <c r="L607" s="25">
        <f>IF(A607="","",DATE(YEAR(A607),MONTH(A607),1))</f>
        <v/>
      </c>
      <c r="M607" s="26">
        <f>IF(AND(E607="",F607=""),"",N(E607)-N(F607))</f>
        <v/>
      </c>
      <c r="N607" s="28" t="n"/>
    </row>
    <row r="608">
      <c r="A608" s="27" t="n"/>
      <c r="B608" s="28" t="n"/>
      <c r="C608" s="28" t="n"/>
      <c r="D608" s="28" t="n"/>
      <c r="E608" s="29" t="n"/>
      <c r="F608" s="29" t="n"/>
      <c r="G608" s="28" t="n"/>
      <c r="H608" s="28" t="n"/>
      <c r="I608" s="28" t="n"/>
      <c r="J608" s="28" t="n"/>
      <c r="K608" s="24">
        <f>IF(D608="","",IFERROR(INDEX(Setup!$B$24:$B$59,MATCH(D608,Setup!$A$24:$A$59,0)),"Check category"))</f>
        <v/>
      </c>
      <c r="L608" s="25">
        <f>IF(A608="","",DATE(YEAR(A608),MONTH(A608),1))</f>
        <v/>
      </c>
      <c r="M608" s="26">
        <f>IF(AND(E608="",F608=""),"",N(E608)-N(F608))</f>
        <v/>
      </c>
      <c r="N608" s="28" t="n"/>
    </row>
    <row r="609">
      <c r="A609" s="27" t="n"/>
      <c r="B609" s="28" t="n"/>
      <c r="C609" s="28" t="n"/>
      <c r="D609" s="28" t="n"/>
      <c r="E609" s="29" t="n"/>
      <c r="F609" s="29" t="n"/>
      <c r="G609" s="28" t="n"/>
      <c r="H609" s="28" t="n"/>
      <c r="I609" s="28" t="n"/>
      <c r="J609" s="28" t="n"/>
      <c r="K609" s="24">
        <f>IF(D609="","",IFERROR(INDEX(Setup!$B$24:$B$59,MATCH(D609,Setup!$A$24:$A$59,0)),"Check category"))</f>
        <v/>
      </c>
      <c r="L609" s="25">
        <f>IF(A609="","",DATE(YEAR(A609),MONTH(A609),1))</f>
        <v/>
      </c>
      <c r="M609" s="26">
        <f>IF(AND(E609="",F609=""),"",N(E609)-N(F609))</f>
        <v/>
      </c>
      <c r="N609" s="28" t="n"/>
    </row>
    <row r="610">
      <c r="A610" s="27" t="n"/>
      <c r="B610" s="28" t="n"/>
      <c r="C610" s="28" t="n"/>
      <c r="D610" s="28" t="n"/>
      <c r="E610" s="29" t="n"/>
      <c r="F610" s="29" t="n"/>
      <c r="G610" s="28" t="n"/>
      <c r="H610" s="28" t="n"/>
      <c r="I610" s="28" t="n"/>
      <c r="J610" s="28" t="n"/>
      <c r="K610" s="24">
        <f>IF(D610="","",IFERROR(INDEX(Setup!$B$24:$B$59,MATCH(D610,Setup!$A$24:$A$59,0)),"Check category"))</f>
        <v/>
      </c>
      <c r="L610" s="25">
        <f>IF(A610="","",DATE(YEAR(A610),MONTH(A610),1))</f>
        <v/>
      </c>
      <c r="M610" s="26">
        <f>IF(AND(E610="",F610=""),"",N(E610)-N(F610))</f>
        <v/>
      </c>
      <c r="N610" s="28" t="n"/>
    </row>
    <row r="611">
      <c r="A611" s="27" t="n"/>
      <c r="B611" s="28" t="n"/>
      <c r="C611" s="28" t="n"/>
      <c r="D611" s="28" t="n"/>
      <c r="E611" s="29" t="n"/>
      <c r="F611" s="29" t="n"/>
      <c r="G611" s="28" t="n"/>
      <c r="H611" s="28" t="n"/>
      <c r="I611" s="28" t="n"/>
      <c r="J611" s="28" t="n"/>
      <c r="K611" s="24">
        <f>IF(D611="","",IFERROR(INDEX(Setup!$B$24:$B$59,MATCH(D611,Setup!$A$24:$A$59,0)),"Check category"))</f>
        <v/>
      </c>
      <c r="L611" s="25">
        <f>IF(A611="","",DATE(YEAR(A611),MONTH(A611),1))</f>
        <v/>
      </c>
      <c r="M611" s="26">
        <f>IF(AND(E611="",F611=""),"",N(E611)-N(F611))</f>
        <v/>
      </c>
      <c r="N611" s="28" t="n"/>
    </row>
    <row r="612">
      <c r="A612" s="27" t="n"/>
      <c r="B612" s="28" t="n"/>
      <c r="C612" s="28" t="n"/>
      <c r="D612" s="28" t="n"/>
      <c r="E612" s="29" t="n"/>
      <c r="F612" s="29" t="n"/>
      <c r="G612" s="28" t="n"/>
      <c r="H612" s="28" t="n"/>
      <c r="I612" s="28" t="n"/>
      <c r="J612" s="28" t="n"/>
      <c r="K612" s="24">
        <f>IF(D612="","",IFERROR(INDEX(Setup!$B$24:$B$59,MATCH(D612,Setup!$A$24:$A$59,0)),"Check category"))</f>
        <v/>
      </c>
      <c r="L612" s="25">
        <f>IF(A612="","",DATE(YEAR(A612),MONTH(A612),1))</f>
        <v/>
      </c>
      <c r="M612" s="26">
        <f>IF(AND(E612="",F612=""),"",N(E612)-N(F612))</f>
        <v/>
      </c>
      <c r="N612" s="28" t="n"/>
    </row>
    <row r="613">
      <c r="A613" s="27" t="n"/>
      <c r="B613" s="28" t="n"/>
      <c r="C613" s="28" t="n"/>
      <c r="D613" s="28" t="n"/>
      <c r="E613" s="29" t="n"/>
      <c r="F613" s="29" t="n"/>
      <c r="G613" s="28" t="n"/>
      <c r="H613" s="28" t="n"/>
      <c r="I613" s="28" t="n"/>
      <c r="J613" s="28" t="n"/>
      <c r="K613" s="24">
        <f>IF(D613="","",IFERROR(INDEX(Setup!$B$24:$B$59,MATCH(D613,Setup!$A$24:$A$59,0)),"Check category"))</f>
        <v/>
      </c>
      <c r="L613" s="25">
        <f>IF(A613="","",DATE(YEAR(A613),MONTH(A613),1))</f>
        <v/>
      </c>
      <c r="M613" s="26">
        <f>IF(AND(E613="",F613=""),"",N(E613)-N(F613))</f>
        <v/>
      </c>
      <c r="N613" s="28" t="n"/>
    </row>
    <row r="614">
      <c r="A614" s="27" t="n"/>
      <c r="B614" s="28" t="n"/>
      <c r="C614" s="28" t="n"/>
      <c r="D614" s="28" t="n"/>
      <c r="E614" s="29" t="n"/>
      <c r="F614" s="29" t="n"/>
      <c r="G614" s="28" t="n"/>
      <c r="H614" s="28" t="n"/>
      <c r="I614" s="28" t="n"/>
      <c r="J614" s="28" t="n"/>
      <c r="K614" s="24">
        <f>IF(D614="","",IFERROR(INDEX(Setup!$B$24:$B$59,MATCH(D614,Setup!$A$24:$A$59,0)),"Check category"))</f>
        <v/>
      </c>
      <c r="L614" s="25">
        <f>IF(A614="","",DATE(YEAR(A614),MONTH(A614),1))</f>
        <v/>
      </c>
      <c r="M614" s="26">
        <f>IF(AND(E614="",F614=""),"",N(E614)-N(F614))</f>
        <v/>
      </c>
      <c r="N614" s="28" t="n"/>
    </row>
    <row r="615">
      <c r="A615" s="27" t="n"/>
      <c r="B615" s="28" t="n"/>
      <c r="C615" s="28" t="n"/>
      <c r="D615" s="28" t="n"/>
      <c r="E615" s="29" t="n"/>
      <c r="F615" s="29" t="n"/>
      <c r="G615" s="28" t="n"/>
      <c r="H615" s="28" t="n"/>
      <c r="I615" s="28" t="n"/>
      <c r="J615" s="28" t="n"/>
      <c r="K615" s="24">
        <f>IF(D615="","",IFERROR(INDEX(Setup!$B$24:$B$59,MATCH(D615,Setup!$A$24:$A$59,0)),"Check category"))</f>
        <v/>
      </c>
      <c r="L615" s="25">
        <f>IF(A615="","",DATE(YEAR(A615),MONTH(A615),1))</f>
        <v/>
      </c>
      <c r="M615" s="26">
        <f>IF(AND(E615="",F615=""),"",N(E615)-N(F615))</f>
        <v/>
      </c>
      <c r="N615" s="28" t="n"/>
    </row>
    <row r="616">
      <c r="A616" s="27" t="n"/>
      <c r="B616" s="28" t="n"/>
      <c r="C616" s="28" t="n"/>
      <c r="D616" s="28" t="n"/>
      <c r="E616" s="29" t="n"/>
      <c r="F616" s="29" t="n"/>
      <c r="G616" s="28" t="n"/>
      <c r="H616" s="28" t="n"/>
      <c r="I616" s="28" t="n"/>
      <c r="J616" s="28" t="n"/>
      <c r="K616" s="24">
        <f>IF(D616="","",IFERROR(INDEX(Setup!$B$24:$B$59,MATCH(D616,Setup!$A$24:$A$59,0)),"Check category"))</f>
        <v/>
      </c>
      <c r="L616" s="25">
        <f>IF(A616="","",DATE(YEAR(A616),MONTH(A616),1))</f>
        <v/>
      </c>
      <c r="M616" s="26">
        <f>IF(AND(E616="",F616=""),"",N(E616)-N(F616))</f>
        <v/>
      </c>
      <c r="N616" s="28" t="n"/>
    </row>
    <row r="617">
      <c r="A617" s="27" t="n"/>
      <c r="B617" s="28" t="n"/>
      <c r="C617" s="28" t="n"/>
      <c r="D617" s="28" t="n"/>
      <c r="E617" s="29" t="n"/>
      <c r="F617" s="29" t="n"/>
      <c r="G617" s="28" t="n"/>
      <c r="H617" s="28" t="n"/>
      <c r="I617" s="28" t="n"/>
      <c r="J617" s="28" t="n"/>
      <c r="K617" s="24">
        <f>IF(D617="","",IFERROR(INDEX(Setup!$B$24:$B$59,MATCH(D617,Setup!$A$24:$A$59,0)),"Check category"))</f>
        <v/>
      </c>
      <c r="L617" s="25">
        <f>IF(A617="","",DATE(YEAR(A617),MONTH(A617),1))</f>
        <v/>
      </c>
      <c r="M617" s="26">
        <f>IF(AND(E617="",F617=""),"",N(E617)-N(F617))</f>
        <v/>
      </c>
      <c r="N617" s="28" t="n"/>
    </row>
    <row r="618">
      <c r="A618" s="27" t="n"/>
      <c r="B618" s="28" t="n"/>
      <c r="C618" s="28" t="n"/>
      <c r="D618" s="28" t="n"/>
      <c r="E618" s="29" t="n"/>
      <c r="F618" s="29" t="n"/>
      <c r="G618" s="28" t="n"/>
      <c r="H618" s="28" t="n"/>
      <c r="I618" s="28" t="n"/>
      <c r="J618" s="28" t="n"/>
      <c r="K618" s="24">
        <f>IF(D618="","",IFERROR(INDEX(Setup!$B$24:$B$59,MATCH(D618,Setup!$A$24:$A$59,0)),"Check category"))</f>
        <v/>
      </c>
      <c r="L618" s="25">
        <f>IF(A618="","",DATE(YEAR(A618),MONTH(A618),1))</f>
        <v/>
      </c>
      <c r="M618" s="26">
        <f>IF(AND(E618="",F618=""),"",N(E618)-N(F618))</f>
        <v/>
      </c>
      <c r="N618" s="28" t="n"/>
    </row>
    <row r="619">
      <c r="A619" s="27" t="n"/>
      <c r="B619" s="28" t="n"/>
      <c r="C619" s="28" t="n"/>
      <c r="D619" s="28" t="n"/>
      <c r="E619" s="29" t="n"/>
      <c r="F619" s="29" t="n"/>
      <c r="G619" s="28" t="n"/>
      <c r="H619" s="28" t="n"/>
      <c r="I619" s="28" t="n"/>
      <c r="J619" s="28" t="n"/>
      <c r="K619" s="24">
        <f>IF(D619="","",IFERROR(INDEX(Setup!$B$24:$B$59,MATCH(D619,Setup!$A$24:$A$59,0)),"Check category"))</f>
        <v/>
      </c>
      <c r="L619" s="25">
        <f>IF(A619="","",DATE(YEAR(A619),MONTH(A619),1))</f>
        <v/>
      </c>
      <c r="M619" s="26">
        <f>IF(AND(E619="",F619=""),"",N(E619)-N(F619))</f>
        <v/>
      </c>
      <c r="N619" s="28" t="n"/>
    </row>
    <row r="620">
      <c r="A620" s="27" t="n"/>
      <c r="B620" s="28" t="n"/>
      <c r="C620" s="28" t="n"/>
      <c r="D620" s="28" t="n"/>
      <c r="E620" s="29" t="n"/>
      <c r="F620" s="29" t="n"/>
      <c r="G620" s="28" t="n"/>
      <c r="H620" s="28" t="n"/>
      <c r="I620" s="28" t="n"/>
      <c r="J620" s="28" t="n"/>
      <c r="K620" s="24">
        <f>IF(D620="","",IFERROR(INDEX(Setup!$B$24:$B$59,MATCH(D620,Setup!$A$24:$A$59,0)),"Check category"))</f>
        <v/>
      </c>
      <c r="L620" s="25">
        <f>IF(A620="","",DATE(YEAR(A620),MONTH(A620),1))</f>
        <v/>
      </c>
      <c r="M620" s="26">
        <f>IF(AND(E620="",F620=""),"",N(E620)-N(F620))</f>
        <v/>
      </c>
      <c r="N620" s="28" t="n"/>
    </row>
    <row r="621">
      <c r="A621" s="27" t="n"/>
      <c r="B621" s="28" t="n"/>
      <c r="C621" s="28" t="n"/>
      <c r="D621" s="28" t="n"/>
      <c r="E621" s="29" t="n"/>
      <c r="F621" s="29" t="n"/>
      <c r="G621" s="28" t="n"/>
      <c r="H621" s="28" t="n"/>
      <c r="I621" s="28" t="n"/>
      <c r="J621" s="28" t="n"/>
      <c r="K621" s="24">
        <f>IF(D621="","",IFERROR(INDEX(Setup!$B$24:$B$59,MATCH(D621,Setup!$A$24:$A$59,0)),"Check category"))</f>
        <v/>
      </c>
      <c r="L621" s="25">
        <f>IF(A621="","",DATE(YEAR(A621),MONTH(A621),1))</f>
        <v/>
      </c>
      <c r="M621" s="26">
        <f>IF(AND(E621="",F621=""),"",N(E621)-N(F621))</f>
        <v/>
      </c>
      <c r="N621" s="28" t="n"/>
    </row>
    <row r="622">
      <c r="A622" s="27" t="n"/>
      <c r="B622" s="28" t="n"/>
      <c r="C622" s="28" t="n"/>
      <c r="D622" s="28" t="n"/>
      <c r="E622" s="29" t="n"/>
      <c r="F622" s="29" t="n"/>
      <c r="G622" s="28" t="n"/>
      <c r="H622" s="28" t="n"/>
      <c r="I622" s="28" t="n"/>
      <c r="J622" s="28" t="n"/>
      <c r="K622" s="24">
        <f>IF(D622="","",IFERROR(INDEX(Setup!$B$24:$B$59,MATCH(D622,Setup!$A$24:$A$59,0)),"Check category"))</f>
        <v/>
      </c>
      <c r="L622" s="25">
        <f>IF(A622="","",DATE(YEAR(A622),MONTH(A622),1))</f>
        <v/>
      </c>
      <c r="M622" s="26">
        <f>IF(AND(E622="",F622=""),"",N(E622)-N(F622))</f>
        <v/>
      </c>
      <c r="N622" s="28" t="n"/>
    </row>
    <row r="623">
      <c r="A623" s="27" t="n"/>
      <c r="B623" s="28" t="n"/>
      <c r="C623" s="28" t="n"/>
      <c r="D623" s="28" t="n"/>
      <c r="E623" s="29" t="n"/>
      <c r="F623" s="29" t="n"/>
      <c r="G623" s="28" t="n"/>
      <c r="H623" s="28" t="n"/>
      <c r="I623" s="28" t="n"/>
      <c r="J623" s="28" t="n"/>
      <c r="K623" s="24">
        <f>IF(D623="","",IFERROR(INDEX(Setup!$B$24:$B$59,MATCH(D623,Setup!$A$24:$A$59,0)),"Check category"))</f>
        <v/>
      </c>
      <c r="L623" s="25">
        <f>IF(A623="","",DATE(YEAR(A623),MONTH(A623),1))</f>
        <v/>
      </c>
      <c r="M623" s="26">
        <f>IF(AND(E623="",F623=""),"",N(E623)-N(F623))</f>
        <v/>
      </c>
      <c r="N623" s="28" t="n"/>
    </row>
    <row r="624">
      <c r="A624" s="27" t="n"/>
      <c r="B624" s="28" t="n"/>
      <c r="C624" s="28" t="n"/>
      <c r="D624" s="28" t="n"/>
      <c r="E624" s="29" t="n"/>
      <c r="F624" s="29" t="n"/>
      <c r="G624" s="28" t="n"/>
      <c r="H624" s="28" t="n"/>
      <c r="I624" s="28" t="n"/>
      <c r="J624" s="28" t="n"/>
      <c r="K624" s="24">
        <f>IF(D624="","",IFERROR(INDEX(Setup!$B$24:$B$59,MATCH(D624,Setup!$A$24:$A$59,0)),"Check category"))</f>
        <v/>
      </c>
      <c r="L624" s="25">
        <f>IF(A624="","",DATE(YEAR(A624),MONTH(A624),1))</f>
        <v/>
      </c>
      <c r="M624" s="26">
        <f>IF(AND(E624="",F624=""),"",N(E624)-N(F624))</f>
        <v/>
      </c>
      <c r="N624" s="28" t="n"/>
    </row>
    <row r="625">
      <c r="A625" s="27" t="n"/>
      <c r="B625" s="28" t="n"/>
      <c r="C625" s="28" t="n"/>
      <c r="D625" s="28" t="n"/>
      <c r="E625" s="29" t="n"/>
      <c r="F625" s="29" t="n"/>
      <c r="G625" s="28" t="n"/>
      <c r="H625" s="28" t="n"/>
      <c r="I625" s="28" t="n"/>
      <c r="J625" s="28" t="n"/>
      <c r="K625" s="24">
        <f>IF(D625="","",IFERROR(INDEX(Setup!$B$24:$B$59,MATCH(D625,Setup!$A$24:$A$59,0)),"Check category"))</f>
        <v/>
      </c>
      <c r="L625" s="25">
        <f>IF(A625="","",DATE(YEAR(A625),MONTH(A625),1))</f>
        <v/>
      </c>
      <c r="M625" s="26">
        <f>IF(AND(E625="",F625=""),"",N(E625)-N(F625))</f>
        <v/>
      </c>
      <c r="N625" s="28" t="n"/>
    </row>
    <row r="626">
      <c r="A626" s="27" t="n"/>
      <c r="B626" s="28" t="n"/>
      <c r="C626" s="28" t="n"/>
      <c r="D626" s="28" t="n"/>
      <c r="E626" s="29" t="n"/>
      <c r="F626" s="29" t="n"/>
      <c r="G626" s="28" t="n"/>
      <c r="H626" s="28" t="n"/>
      <c r="I626" s="28" t="n"/>
      <c r="J626" s="28" t="n"/>
      <c r="K626" s="24">
        <f>IF(D626="","",IFERROR(INDEX(Setup!$B$24:$B$59,MATCH(D626,Setup!$A$24:$A$59,0)),"Check category"))</f>
        <v/>
      </c>
      <c r="L626" s="25">
        <f>IF(A626="","",DATE(YEAR(A626),MONTH(A626),1))</f>
        <v/>
      </c>
      <c r="M626" s="26">
        <f>IF(AND(E626="",F626=""),"",N(E626)-N(F626))</f>
        <v/>
      </c>
      <c r="N626" s="28" t="n"/>
    </row>
    <row r="627">
      <c r="A627" s="27" t="n"/>
      <c r="B627" s="28" t="n"/>
      <c r="C627" s="28" t="n"/>
      <c r="D627" s="28" t="n"/>
      <c r="E627" s="29" t="n"/>
      <c r="F627" s="29" t="n"/>
      <c r="G627" s="28" t="n"/>
      <c r="H627" s="28" t="n"/>
      <c r="I627" s="28" t="n"/>
      <c r="J627" s="28" t="n"/>
      <c r="K627" s="24">
        <f>IF(D627="","",IFERROR(INDEX(Setup!$B$24:$B$59,MATCH(D627,Setup!$A$24:$A$59,0)),"Check category"))</f>
        <v/>
      </c>
      <c r="L627" s="25">
        <f>IF(A627="","",DATE(YEAR(A627),MONTH(A627),1))</f>
        <v/>
      </c>
      <c r="M627" s="26">
        <f>IF(AND(E627="",F627=""),"",N(E627)-N(F627))</f>
        <v/>
      </c>
      <c r="N627" s="28" t="n"/>
    </row>
    <row r="628">
      <c r="A628" s="27" t="n"/>
      <c r="B628" s="28" t="n"/>
      <c r="C628" s="28" t="n"/>
      <c r="D628" s="28" t="n"/>
      <c r="E628" s="29" t="n"/>
      <c r="F628" s="29" t="n"/>
      <c r="G628" s="28" t="n"/>
      <c r="H628" s="28" t="n"/>
      <c r="I628" s="28" t="n"/>
      <c r="J628" s="28" t="n"/>
      <c r="K628" s="24">
        <f>IF(D628="","",IFERROR(INDEX(Setup!$B$24:$B$59,MATCH(D628,Setup!$A$24:$A$59,0)),"Check category"))</f>
        <v/>
      </c>
      <c r="L628" s="25">
        <f>IF(A628="","",DATE(YEAR(A628),MONTH(A628),1))</f>
        <v/>
      </c>
      <c r="M628" s="26">
        <f>IF(AND(E628="",F628=""),"",N(E628)-N(F628))</f>
        <v/>
      </c>
      <c r="N628" s="28" t="n"/>
    </row>
    <row r="629">
      <c r="A629" s="27" t="n"/>
      <c r="B629" s="28" t="n"/>
      <c r="C629" s="28" t="n"/>
      <c r="D629" s="28" t="n"/>
      <c r="E629" s="29" t="n"/>
      <c r="F629" s="29" t="n"/>
      <c r="G629" s="28" t="n"/>
      <c r="H629" s="28" t="n"/>
      <c r="I629" s="28" t="n"/>
      <c r="J629" s="28" t="n"/>
      <c r="K629" s="24">
        <f>IF(D629="","",IFERROR(INDEX(Setup!$B$24:$B$59,MATCH(D629,Setup!$A$24:$A$59,0)),"Check category"))</f>
        <v/>
      </c>
      <c r="L629" s="25">
        <f>IF(A629="","",DATE(YEAR(A629),MONTH(A629),1))</f>
        <v/>
      </c>
      <c r="M629" s="26">
        <f>IF(AND(E629="",F629=""),"",N(E629)-N(F629))</f>
        <v/>
      </c>
      <c r="N629" s="28" t="n"/>
    </row>
    <row r="630">
      <c r="A630" s="27" t="n"/>
      <c r="B630" s="28" t="n"/>
      <c r="C630" s="28" t="n"/>
      <c r="D630" s="28" t="n"/>
      <c r="E630" s="29" t="n"/>
      <c r="F630" s="29" t="n"/>
      <c r="G630" s="28" t="n"/>
      <c r="H630" s="28" t="n"/>
      <c r="I630" s="28" t="n"/>
      <c r="J630" s="28" t="n"/>
      <c r="K630" s="24">
        <f>IF(D630="","",IFERROR(INDEX(Setup!$B$24:$B$59,MATCH(D630,Setup!$A$24:$A$59,0)),"Check category"))</f>
        <v/>
      </c>
      <c r="L630" s="25">
        <f>IF(A630="","",DATE(YEAR(A630),MONTH(A630),1))</f>
        <v/>
      </c>
      <c r="M630" s="26">
        <f>IF(AND(E630="",F630=""),"",N(E630)-N(F630))</f>
        <v/>
      </c>
      <c r="N630" s="28" t="n"/>
    </row>
    <row r="631">
      <c r="A631" s="27" t="n"/>
      <c r="B631" s="28" t="n"/>
      <c r="C631" s="28" t="n"/>
      <c r="D631" s="28" t="n"/>
      <c r="E631" s="29" t="n"/>
      <c r="F631" s="29" t="n"/>
      <c r="G631" s="28" t="n"/>
      <c r="H631" s="28" t="n"/>
      <c r="I631" s="28" t="n"/>
      <c r="J631" s="28" t="n"/>
      <c r="K631" s="24">
        <f>IF(D631="","",IFERROR(INDEX(Setup!$B$24:$B$59,MATCH(D631,Setup!$A$24:$A$59,0)),"Check category"))</f>
        <v/>
      </c>
      <c r="L631" s="25">
        <f>IF(A631="","",DATE(YEAR(A631),MONTH(A631),1))</f>
        <v/>
      </c>
      <c r="M631" s="26">
        <f>IF(AND(E631="",F631=""),"",N(E631)-N(F631))</f>
        <v/>
      </c>
      <c r="N631" s="28" t="n"/>
    </row>
    <row r="632">
      <c r="A632" s="27" t="n"/>
      <c r="B632" s="28" t="n"/>
      <c r="C632" s="28" t="n"/>
      <c r="D632" s="28" t="n"/>
      <c r="E632" s="29" t="n"/>
      <c r="F632" s="29" t="n"/>
      <c r="G632" s="28" t="n"/>
      <c r="H632" s="28" t="n"/>
      <c r="I632" s="28" t="n"/>
      <c r="J632" s="28" t="n"/>
      <c r="K632" s="24">
        <f>IF(D632="","",IFERROR(INDEX(Setup!$B$24:$B$59,MATCH(D632,Setup!$A$24:$A$59,0)),"Check category"))</f>
        <v/>
      </c>
      <c r="L632" s="25">
        <f>IF(A632="","",DATE(YEAR(A632),MONTH(A632),1))</f>
        <v/>
      </c>
      <c r="M632" s="26">
        <f>IF(AND(E632="",F632=""),"",N(E632)-N(F632))</f>
        <v/>
      </c>
      <c r="N632" s="28" t="n"/>
    </row>
    <row r="633">
      <c r="A633" s="27" t="n"/>
      <c r="B633" s="28" t="n"/>
      <c r="C633" s="28" t="n"/>
      <c r="D633" s="28" t="n"/>
      <c r="E633" s="29" t="n"/>
      <c r="F633" s="29" t="n"/>
      <c r="G633" s="28" t="n"/>
      <c r="H633" s="28" t="n"/>
      <c r="I633" s="28" t="n"/>
      <c r="J633" s="28" t="n"/>
      <c r="K633" s="24">
        <f>IF(D633="","",IFERROR(INDEX(Setup!$B$24:$B$59,MATCH(D633,Setup!$A$24:$A$59,0)),"Check category"))</f>
        <v/>
      </c>
      <c r="L633" s="25">
        <f>IF(A633="","",DATE(YEAR(A633),MONTH(A633),1))</f>
        <v/>
      </c>
      <c r="M633" s="26">
        <f>IF(AND(E633="",F633=""),"",N(E633)-N(F633))</f>
        <v/>
      </c>
      <c r="N633" s="28" t="n"/>
    </row>
    <row r="634">
      <c r="A634" s="27" t="n"/>
      <c r="B634" s="28" t="n"/>
      <c r="C634" s="28" t="n"/>
      <c r="D634" s="28" t="n"/>
      <c r="E634" s="29" t="n"/>
      <c r="F634" s="29" t="n"/>
      <c r="G634" s="28" t="n"/>
      <c r="H634" s="28" t="n"/>
      <c r="I634" s="28" t="n"/>
      <c r="J634" s="28" t="n"/>
      <c r="K634" s="24">
        <f>IF(D634="","",IFERROR(INDEX(Setup!$B$24:$B$59,MATCH(D634,Setup!$A$24:$A$59,0)),"Check category"))</f>
        <v/>
      </c>
      <c r="L634" s="25">
        <f>IF(A634="","",DATE(YEAR(A634),MONTH(A634),1))</f>
        <v/>
      </c>
      <c r="M634" s="26">
        <f>IF(AND(E634="",F634=""),"",N(E634)-N(F634))</f>
        <v/>
      </c>
      <c r="N634" s="28" t="n"/>
    </row>
    <row r="635">
      <c r="A635" s="27" t="n"/>
      <c r="B635" s="28" t="n"/>
      <c r="C635" s="28" t="n"/>
      <c r="D635" s="28" t="n"/>
      <c r="E635" s="29" t="n"/>
      <c r="F635" s="29" t="n"/>
      <c r="G635" s="28" t="n"/>
      <c r="H635" s="28" t="n"/>
      <c r="I635" s="28" t="n"/>
      <c r="J635" s="28" t="n"/>
      <c r="K635" s="24">
        <f>IF(D635="","",IFERROR(INDEX(Setup!$B$24:$B$59,MATCH(D635,Setup!$A$24:$A$59,0)),"Check category"))</f>
        <v/>
      </c>
      <c r="L635" s="25">
        <f>IF(A635="","",DATE(YEAR(A635),MONTH(A635),1))</f>
        <v/>
      </c>
      <c r="M635" s="26">
        <f>IF(AND(E635="",F635=""),"",N(E635)-N(F635))</f>
        <v/>
      </c>
      <c r="N635" s="28" t="n"/>
    </row>
    <row r="636">
      <c r="A636" s="27" t="n"/>
      <c r="B636" s="28" t="n"/>
      <c r="C636" s="28" t="n"/>
      <c r="D636" s="28" t="n"/>
      <c r="E636" s="29" t="n"/>
      <c r="F636" s="29" t="n"/>
      <c r="G636" s="28" t="n"/>
      <c r="H636" s="28" t="n"/>
      <c r="I636" s="28" t="n"/>
      <c r="J636" s="28" t="n"/>
      <c r="K636" s="24">
        <f>IF(D636="","",IFERROR(INDEX(Setup!$B$24:$B$59,MATCH(D636,Setup!$A$24:$A$59,0)),"Check category"))</f>
        <v/>
      </c>
      <c r="L636" s="25">
        <f>IF(A636="","",DATE(YEAR(A636),MONTH(A636),1))</f>
        <v/>
      </c>
      <c r="M636" s="26">
        <f>IF(AND(E636="",F636=""),"",N(E636)-N(F636))</f>
        <v/>
      </c>
      <c r="N636" s="28" t="n"/>
    </row>
    <row r="637">
      <c r="A637" s="27" t="n"/>
      <c r="B637" s="28" t="n"/>
      <c r="C637" s="28" t="n"/>
      <c r="D637" s="28" t="n"/>
      <c r="E637" s="29" t="n"/>
      <c r="F637" s="29" t="n"/>
      <c r="G637" s="28" t="n"/>
      <c r="H637" s="28" t="n"/>
      <c r="I637" s="28" t="n"/>
      <c r="J637" s="28" t="n"/>
      <c r="K637" s="24">
        <f>IF(D637="","",IFERROR(INDEX(Setup!$B$24:$B$59,MATCH(D637,Setup!$A$24:$A$59,0)),"Check category"))</f>
        <v/>
      </c>
      <c r="L637" s="25">
        <f>IF(A637="","",DATE(YEAR(A637),MONTH(A637),1))</f>
        <v/>
      </c>
      <c r="M637" s="26">
        <f>IF(AND(E637="",F637=""),"",N(E637)-N(F637))</f>
        <v/>
      </c>
      <c r="N637" s="28" t="n"/>
    </row>
    <row r="638">
      <c r="A638" s="27" t="n"/>
      <c r="B638" s="28" t="n"/>
      <c r="C638" s="28" t="n"/>
      <c r="D638" s="28" t="n"/>
      <c r="E638" s="29" t="n"/>
      <c r="F638" s="29" t="n"/>
      <c r="G638" s="28" t="n"/>
      <c r="H638" s="28" t="n"/>
      <c r="I638" s="28" t="n"/>
      <c r="J638" s="28" t="n"/>
      <c r="K638" s="24">
        <f>IF(D638="","",IFERROR(INDEX(Setup!$B$24:$B$59,MATCH(D638,Setup!$A$24:$A$59,0)),"Check category"))</f>
        <v/>
      </c>
      <c r="L638" s="25">
        <f>IF(A638="","",DATE(YEAR(A638),MONTH(A638),1))</f>
        <v/>
      </c>
      <c r="M638" s="26">
        <f>IF(AND(E638="",F638=""),"",N(E638)-N(F638))</f>
        <v/>
      </c>
      <c r="N638" s="28" t="n"/>
    </row>
    <row r="639">
      <c r="A639" s="27" t="n"/>
      <c r="B639" s="28" t="n"/>
      <c r="C639" s="28" t="n"/>
      <c r="D639" s="28" t="n"/>
      <c r="E639" s="29" t="n"/>
      <c r="F639" s="29" t="n"/>
      <c r="G639" s="28" t="n"/>
      <c r="H639" s="28" t="n"/>
      <c r="I639" s="28" t="n"/>
      <c r="J639" s="28" t="n"/>
      <c r="K639" s="24">
        <f>IF(D639="","",IFERROR(INDEX(Setup!$B$24:$B$59,MATCH(D639,Setup!$A$24:$A$59,0)),"Check category"))</f>
        <v/>
      </c>
      <c r="L639" s="25">
        <f>IF(A639="","",DATE(YEAR(A639),MONTH(A639),1))</f>
        <v/>
      </c>
      <c r="M639" s="26">
        <f>IF(AND(E639="",F639=""),"",N(E639)-N(F639))</f>
        <v/>
      </c>
      <c r="N639" s="28" t="n"/>
    </row>
    <row r="640">
      <c r="A640" s="27" t="n"/>
      <c r="B640" s="28" t="n"/>
      <c r="C640" s="28" t="n"/>
      <c r="D640" s="28" t="n"/>
      <c r="E640" s="29" t="n"/>
      <c r="F640" s="29" t="n"/>
      <c r="G640" s="28" t="n"/>
      <c r="H640" s="28" t="n"/>
      <c r="I640" s="28" t="n"/>
      <c r="J640" s="28" t="n"/>
      <c r="K640" s="24">
        <f>IF(D640="","",IFERROR(INDEX(Setup!$B$24:$B$59,MATCH(D640,Setup!$A$24:$A$59,0)),"Check category"))</f>
        <v/>
      </c>
      <c r="L640" s="25">
        <f>IF(A640="","",DATE(YEAR(A640),MONTH(A640),1))</f>
        <v/>
      </c>
      <c r="M640" s="26">
        <f>IF(AND(E640="",F640=""),"",N(E640)-N(F640))</f>
        <v/>
      </c>
      <c r="N640" s="28" t="n"/>
    </row>
    <row r="641">
      <c r="A641" s="27" t="n"/>
      <c r="B641" s="28" t="n"/>
      <c r="C641" s="28" t="n"/>
      <c r="D641" s="28" t="n"/>
      <c r="E641" s="29" t="n"/>
      <c r="F641" s="29" t="n"/>
      <c r="G641" s="28" t="n"/>
      <c r="H641" s="28" t="n"/>
      <c r="I641" s="28" t="n"/>
      <c r="J641" s="28" t="n"/>
      <c r="K641" s="24">
        <f>IF(D641="","",IFERROR(INDEX(Setup!$B$24:$B$59,MATCH(D641,Setup!$A$24:$A$59,0)),"Check category"))</f>
        <v/>
      </c>
      <c r="L641" s="25">
        <f>IF(A641="","",DATE(YEAR(A641),MONTH(A641),1))</f>
        <v/>
      </c>
      <c r="M641" s="26">
        <f>IF(AND(E641="",F641=""),"",N(E641)-N(F641))</f>
        <v/>
      </c>
      <c r="N641" s="28" t="n"/>
    </row>
    <row r="642">
      <c r="A642" s="27" t="n"/>
      <c r="B642" s="28" t="n"/>
      <c r="C642" s="28" t="n"/>
      <c r="D642" s="28" t="n"/>
      <c r="E642" s="29" t="n"/>
      <c r="F642" s="29" t="n"/>
      <c r="G642" s="28" t="n"/>
      <c r="H642" s="28" t="n"/>
      <c r="I642" s="28" t="n"/>
      <c r="J642" s="28" t="n"/>
      <c r="K642" s="24">
        <f>IF(D642="","",IFERROR(INDEX(Setup!$B$24:$B$59,MATCH(D642,Setup!$A$24:$A$59,0)),"Check category"))</f>
        <v/>
      </c>
      <c r="L642" s="25">
        <f>IF(A642="","",DATE(YEAR(A642),MONTH(A642),1))</f>
        <v/>
      </c>
      <c r="M642" s="26">
        <f>IF(AND(E642="",F642=""),"",N(E642)-N(F642))</f>
        <v/>
      </c>
      <c r="N642" s="28" t="n"/>
    </row>
    <row r="643">
      <c r="A643" s="27" t="n"/>
      <c r="B643" s="28" t="n"/>
      <c r="C643" s="28" t="n"/>
      <c r="D643" s="28" t="n"/>
      <c r="E643" s="29" t="n"/>
      <c r="F643" s="29" t="n"/>
      <c r="G643" s="28" t="n"/>
      <c r="H643" s="28" t="n"/>
      <c r="I643" s="28" t="n"/>
      <c r="J643" s="28" t="n"/>
      <c r="K643" s="24">
        <f>IF(D643="","",IFERROR(INDEX(Setup!$B$24:$B$59,MATCH(D643,Setup!$A$24:$A$59,0)),"Check category"))</f>
        <v/>
      </c>
      <c r="L643" s="25">
        <f>IF(A643="","",DATE(YEAR(A643),MONTH(A643),1))</f>
        <v/>
      </c>
      <c r="M643" s="26">
        <f>IF(AND(E643="",F643=""),"",N(E643)-N(F643))</f>
        <v/>
      </c>
      <c r="N643" s="28" t="n"/>
    </row>
    <row r="644">
      <c r="A644" s="27" t="n"/>
      <c r="B644" s="28" t="n"/>
      <c r="C644" s="28" t="n"/>
      <c r="D644" s="28" t="n"/>
      <c r="E644" s="29" t="n"/>
      <c r="F644" s="29" t="n"/>
      <c r="G644" s="28" t="n"/>
      <c r="H644" s="28" t="n"/>
      <c r="I644" s="28" t="n"/>
      <c r="J644" s="28" t="n"/>
      <c r="K644" s="24">
        <f>IF(D644="","",IFERROR(INDEX(Setup!$B$24:$B$59,MATCH(D644,Setup!$A$24:$A$59,0)),"Check category"))</f>
        <v/>
      </c>
      <c r="L644" s="25">
        <f>IF(A644="","",DATE(YEAR(A644),MONTH(A644),1))</f>
        <v/>
      </c>
      <c r="M644" s="26">
        <f>IF(AND(E644="",F644=""),"",N(E644)-N(F644))</f>
        <v/>
      </c>
      <c r="N644" s="28" t="n"/>
    </row>
    <row r="645">
      <c r="A645" s="27" t="n"/>
      <c r="B645" s="28" t="n"/>
      <c r="C645" s="28" t="n"/>
      <c r="D645" s="28" t="n"/>
      <c r="E645" s="29" t="n"/>
      <c r="F645" s="29" t="n"/>
      <c r="G645" s="28" t="n"/>
      <c r="H645" s="28" t="n"/>
      <c r="I645" s="28" t="n"/>
      <c r="J645" s="28" t="n"/>
      <c r="K645" s="24">
        <f>IF(D645="","",IFERROR(INDEX(Setup!$B$24:$B$59,MATCH(D645,Setup!$A$24:$A$59,0)),"Check category"))</f>
        <v/>
      </c>
      <c r="L645" s="25">
        <f>IF(A645="","",DATE(YEAR(A645),MONTH(A645),1))</f>
        <v/>
      </c>
      <c r="M645" s="26">
        <f>IF(AND(E645="",F645=""),"",N(E645)-N(F645))</f>
        <v/>
      </c>
      <c r="N645" s="28" t="n"/>
    </row>
    <row r="646">
      <c r="A646" s="27" t="n"/>
      <c r="B646" s="28" t="n"/>
      <c r="C646" s="28" t="n"/>
      <c r="D646" s="28" t="n"/>
      <c r="E646" s="29" t="n"/>
      <c r="F646" s="29" t="n"/>
      <c r="G646" s="28" t="n"/>
      <c r="H646" s="28" t="n"/>
      <c r="I646" s="28" t="n"/>
      <c r="J646" s="28" t="n"/>
      <c r="K646" s="24">
        <f>IF(D646="","",IFERROR(INDEX(Setup!$B$24:$B$59,MATCH(D646,Setup!$A$24:$A$59,0)),"Check category"))</f>
        <v/>
      </c>
      <c r="L646" s="25">
        <f>IF(A646="","",DATE(YEAR(A646),MONTH(A646),1))</f>
        <v/>
      </c>
      <c r="M646" s="26">
        <f>IF(AND(E646="",F646=""),"",N(E646)-N(F646))</f>
        <v/>
      </c>
      <c r="N646" s="28" t="n"/>
    </row>
    <row r="647">
      <c r="A647" s="27" t="n"/>
      <c r="B647" s="28" t="n"/>
      <c r="C647" s="28" t="n"/>
      <c r="D647" s="28" t="n"/>
      <c r="E647" s="29" t="n"/>
      <c r="F647" s="29" t="n"/>
      <c r="G647" s="28" t="n"/>
      <c r="H647" s="28" t="n"/>
      <c r="I647" s="28" t="n"/>
      <c r="J647" s="28" t="n"/>
      <c r="K647" s="24">
        <f>IF(D647="","",IFERROR(INDEX(Setup!$B$24:$B$59,MATCH(D647,Setup!$A$24:$A$59,0)),"Check category"))</f>
        <v/>
      </c>
      <c r="L647" s="25">
        <f>IF(A647="","",DATE(YEAR(A647),MONTH(A647),1))</f>
        <v/>
      </c>
      <c r="M647" s="26">
        <f>IF(AND(E647="",F647=""),"",N(E647)-N(F647))</f>
        <v/>
      </c>
      <c r="N647" s="28" t="n"/>
    </row>
    <row r="648">
      <c r="A648" s="27" t="n"/>
      <c r="B648" s="28" t="n"/>
      <c r="C648" s="28" t="n"/>
      <c r="D648" s="28" t="n"/>
      <c r="E648" s="29" t="n"/>
      <c r="F648" s="29" t="n"/>
      <c r="G648" s="28" t="n"/>
      <c r="H648" s="28" t="n"/>
      <c r="I648" s="28" t="n"/>
      <c r="J648" s="28" t="n"/>
      <c r="K648" s="24">
        <f>IF(D648="","",IFERROR(INDEX(Setup!$B$24:$B$59,MATCH(D648,Setup!$A$24:$A$59,0)),"Check category"))</f>
        <v/>
      </c>
      <c r="L648" s="25">
        <f>IF(A648="","",DATE(YEAR(A648),MONTH(A648),1))</f>
        <v/>
      </c>
      <c r="M648" s="26">
        <f>IF(AND(E648="",F648=""),"",N(E648)-N(F648))</f>
        <v/>
      </c>
      <c r="N648" s="28" t="n"/>
    </row>
    <row r="649">
      <c r="A649" s="27" t="n"/>
      <c r="B649" s="28" t="n"/>
      <c r="C649" s="28" t="n"/>
      <c r="D649" s="28" t="n"/>
      <c r="E649" s="29" t="n"/>
      <c r="F649" s="29" t="n"/>
      <c r="G649" s="28" t="n"/>
      <c r="H649" s="28" t="n"/>
      <c r="I649" s="28" t="n"/>
      <c r="J649" s="28" t="n"/>
      <c r="K649" s="24">
        <f>IF(D649="","",IFERROR(INDEX(Setup!$B$24:$B$59,MATCH(D649,Setup!$A$24:$A$59,0)),"Check category"))</f>
        <v/>
      </c>
      <c r="L649" s="25">
        <f>IF(A649="","",DATE(YEAR(A649),MONTH(A649),1))</f>
        <v/>
      </c>
      <c r="M649" s="26">
        <f>IF(AND(E649="",F649=""),"",N(E649)-N(F649))</f>
        <v/>
      </c>
      <c r="N649" s="28" t="n"/>
    </row>
    <row r="650">
      <c r="A650" s="27" t="n"/>
      <c r="B650" s="28" t="n"/>
      <c r="C650" s="28" t="n"/>
      <c r="D650" s="28" t="n"/>
      <c r="E650" s="29" t="n"/>
      <c r="F650" s="29" t="n"/>
      <c r="G650" s="28" t="n"/>
      <c r="H650" s="28" t="n"/>
      <c r="I650" s="28" t="n"/>
      <c r="J650" s="28" t="n"/>
      <c r="K650" s="24">
        <f>IF(D650="","",IFERROR(INDEX(Setup!$B$24:$B$59,MATCH(D650,Setup!$A$24:$A$59,0)),"Check category"))</f>
        <v/>
      </c>
      <c r="L650" s="25">
        <f>IF(A650="","",DATE(YEAR(A650),MONTH(A650),1))</f>
        <v/>
      </c>
      <c r="M650" s="26">
        <f>IF(AND(E650="",F650=""),"",N(E650)-N(F650))</f>
        <v/>
      </c>
      <c r="N650" s="28" t="n"/>
    </row>
    <row r="651">
      <c r="A651" s="27" t="n"/>
      <c r="B651" s="28" t="n"/>
      <c r="C651" s="28" t="n"/>
      <c r="D651" s="28" t="n"/>
      <c r="E651" s="29" t="n"/>
      <c r="F651" s="29" t="n"/>
      <c r="G651" s="28" t="n"/>
      <c r="H651" s="28" t="n"/>
      <c r="I651" s="28" t="n"/>
      <c r="J651" s="28" t="n"/>
      <c r="K651" s="24">
        <f>IF(D651="","",IFERROR(INDEX(Setup!$B$24:$B$59,MATCH(D651,Setup!$A$24:$A$59,0)),"Check category"))</f>
        <v/>
      </c>
      <c r="L651" s="25">
        <f>IF(A651="","",DATE(YEAR(A651),MONTH(A651),1))</f>
        <v/>
      </c>
      <c r="M651" s="26">
        <f>IF(AND(E651="",F651=""),"",N(E651)-N(F651))</f>
        <v/>
      </c>
      <c r="N651" s="28" t="n"/>
    </row>
    <row r="652">
      <c r="A652" s="27" t="n"/>
      <c r="B652" s="28" t="n"/>
      <c r="C652" s="28" t="n"/>
      <c r="D652" s="28" t="n"/>
      <c r="E652" s="29" t="n"/>
      <c r="F652" s="29" t="n"/>
      <c r="G652" s="28" t="n"/>
      <c r="H652" s="28" t="n"/>
      <c r="I652" s="28" t="n"/>
      <c r="J652" s="28" t="n"/>
      <c r="K652" s="24">
        <f>IF(D652="","",IFERROR(INDEX(Setup!$B$24:$B$59,MATCH(D652,Setup!$A$24:$A$59,0)),"Check category"))</f>
        <v/>
      </c>
      <c r="L652" s="25">
        <f>IF(A652="","",DATE(YEAR(A652),MONTH(A652),1))</f>
        <v/>
      </c>
      <c r="M652" s="26">
        <f>IF(AND(E652="",F652=""),"",N(E652)-N(F652))</f>
        <v/>
      </c>
      <c r="N652" s="28" t="n"/>
    </row>
    <row r="653">
      <c r="A653" s="27" t="n"/>
      <c r="B653" s="28" t="n"/>
      <c r="C653" s="28" t="n"/>
      <c r="D653" s="28" t="n"/>
      <c r="E653" s="29" t="n"/>
      <c r="F653" s="29" t="n"/>
      <c r="G653" s="28" t="n"/>
      <c r="H653" s="28" t="n"/>
      <c r="I653" s="28" t="n"/>
      <c r="J653" s="28" t="n"/>
      <c r="K653" s="24">
        <f>IF(D653="","",IFERROR(INDEX(Setup!$B$24:$B$59,MATCH(D653,Setup!$A$24:$A$59,0)),"Check category"))</f>
        <v/>
      </c>
      <c r="L653" s="25">
        <f>IF(A653="","",DATE(YEAR(A653),MONTH(A653),1))</f>
        <v/>
      </c>
      <c r="M653" s="26">
        <f>IF(AND(E653="",F653=""),"",N(E653)-N(F653))</f>
        <v/>
      </c>
      <c r="N653" s="28" t="n"/>
    </row>
    <row r="654">
      <c r="A654" s="27" t="n"/>
      <c r="B654" s="28" t="n"/>
      <c r="C654" s="28" t="n"/>
      <c r="D654" s="28" t="n"/>
      <c r="E654" s="29" t="n"/>
      <c r="F654" s="29" t="n"/>
      <c r="G654" s="28" t="n"/>
      <c r="H654" s="28" t="n"/>
      <c r="I654" s="28" t="n"/>
      <c r="J654" s="28" t="n"/>
      <c r="K654" s="24">
        <f>IF(D654="","",IFERROR(INDEX(Setup!$B$24:$B$59,MATCH(D654,Setup!$A$24:$A$59,0)),"Check category"))</f>
        <v/>
      </c>
      <c r="L654" s="25">
        <f>IF(A654="","",DATE(YEAR(A654),MONTH(A654),1))</f>
        <v/>
      </c>
      <c r="M654" s="26">
        <f>IF(AND(E654="",F654=""),"",N(E654)-N(F654))</f>
        <v/>
      </c>
      <c r="N654" s="28" t="n"/>
    </row>
    <row r="655">
      <c r="A655" s="27" t="n"/>
      <c r="B655" s="28" t="n"/>
      <c r="C655" s="28" t="n"/>
      <c r="D655" s="28" t="n"/>
      <c r="E655" s="29" t="n"/>
      <c r="F655" s="29" t="n"/>
      <c r="G655" s="28" t="n"/>
      <c r="H655" s="28" t="n"/>
      <c r="I655" s="28" t="n"/>
      <c r="J655" s="28" t="n"/>
      <c r="K655" s="24">
        <f>IF(D655="","",IFERROR(INDEX(Setup!$B$24:$B$59,MATCH(D655,Setup!$A$24:$A$59,0)),"Check category"))</f>
        <v/>
      </c>
      <c r="L655" s="25">
        <f>IF(A655="","",DATE(YEAR(A655),MONTH(A655),1))</f>
        <v/>
      </c>
      <c r="M655" s="26">
        <f>IF(AND(E655="",F655=""),"",N(E655)-N(F655))</f>
        <v/>
      </c>
      <c r="N655" s="28" t="n"/>
    </row>
    <row r="656">
      <c r="A656" s="27" t="n"/>
      <c r="B656" s="28" t="n"/>
      <c r="C656" s="28" t="n"/>
      <c r="D656" s="28" t="n"/>
      <c r="E656" s="29" t="n"/>
      <c r="F656" s="29" t="n"/>
      <c r="G656" s="28" t="n"/>
      <c r="H656" s="28" t="n"/>
      <c r="I656" s="28" t="n"/>
      <c r="J656" s="28" t="n"/>
      <c r="K656" s="24">
        <f>IF(D656="","",IFERROR(INDEX(Setup!$B$24:$B$59,MATCH(D656,Setup!$A$24:$A$59,0)),"Check category"))</f>
        <v/>
      </c>
      <c r="L656" s="25">
        <f>IF(A656="","",DATE(YEAR(A656),MONTH(A656),1))</f>
        <v/>
      </c>
      <c r="M656" s="26">
        <f>IF(AND(E656="",F656=""),"",N(E656)-N(F656))</f>
        <v/>
      </c>
      <c r="N656" s="28" t="n"/>
    </row>
    <row r="657">
      <c r="A657" s="27" t="n"/>
      <c r="B657" s="28" t="n"/>
      <c r="C657" s="28" t="n"/>
      <c r="D657" s="28" t="n"/>
      <c r="E657" s="29" t="n"/>
      <c r="F657" s="29" t="n"/>
      <c r="G657" s="28" t="n"/>
      <c r="H657" s="28" t="n"/>
      <c r="I657" s="28" t="n"/>
      <c r="J657" s="28" t="n"/>
      <c r="K657" s="24">
        <f>IF(D657="","",IFERROR(INDEX(Setup!$B$24:$B$59,MATCH(D657,Setup!$A$24:$A$59,0)),"Check category"))</f>
        <v/>
      </c>
      <c r="L657" s="25">
        <f>IF(A657="","",DATE(YEAR(A657),MONTH(A657),1))</f>
        <v/>
      </c>
      <c r="M657" s="26">
        <f>IF(AND(E657="",F657=""),"",N(E657)-N(F657))</f>
        <v/>
      </c>
      <c r="N657" s="28" t="n"/>
    </row>
    <row r="658">
      <c r="A658" s="27" t="n"/>
      <c r="B658" s="28" t="n"/>
      <c r="C658" s="28" t="n"/>
      <c r="D658" s="28" t="n"/>
      <c r="E658" s="29" t="n"/>
      <c r="F658" s="29" t="n"/>
      <c r="G658" s="28" t="n"/>
      <c r="H658" s="28" t="n"/>
      <c r="I658" s="28" t="n"/>
      <c r="J658" s="28" t="n"/>
      <c r="K658" s="24">
        <f>IF(D658="","",IFERROR(INDEX(Setup!$B$24:$B$59,MATCH(D658,Setup!$A$24:$A$59,0)),"Check category"))</f>
        <v/>
      </c>
      <c r="L658" s="25">
        <f>IF(A658="","",DATE(YEAR(A658),MONTH(A658),1))</f>
        <v/>
      </c>
      <c r="M658" s="26">
        <f>IF(AND(E658="",F658=""),"",N(E658)-N(F658))</f>
        <v/>
      </c>
      <c r="N658" s="28" t="n"/>
    </row>
    <row r="659">
      <c r="A659" s="27" t="n"/>
      <c r="B659" s="28" t="n"/>
      <c r="C659" s="28" t="n"/>
      <c r="D659" s="28" t="n"/>
      <c r="E659" s="29" t="n"/>
      <c r="F659" s="29" t="n"/>
      <c r="G659" s="28" t="n"/>
      <c r="H659" s="28" t="n"/>
      <c r="I659" s="28" t="n"/>
      <c r="J659" s="28" t="n"/>
      <c r="K659" s="24">
        <f>IF(D659="","",IFERROR(INDEX(Setup!$B$24:$B$59,MATCH(D659,Setup!$A$24:$A$59,0)),"Check category"))</f>
        <v/>
      </c>
      <c r="L659" s="25">
        <f>IF(A659="","",DATE(YEAR(A659),MONTH(A659),1))</f>
        <v/>
      </c>
      <c r="M659" s="26">
        <f>IF(AND(E659="",F659=""),"",N(E659)-N(F659))</f>
        <v/>
      </c>
      <c r="N659" s="28" t="n"/>
    </row>
    <row r="660">
      <c r="A660" s="27" t="n"/>
      <c r="B660" s="28" t="n"/>
      <c r="C660" s="28" t="n"/>
      <c r="D660" s="28" t="n"/>
      <c r="E660" s="29" t="n"/>
      <c r="F660" s="29" t="n"/>
      <c r="G660" s="28" t="n"/>
      <c r="H660" s="28" t="n"/>
      <c r="I660" s="28" t="n"/>
      <c r="J660" s="28" t="n"/>
      <c r="K660" s="24">
        <f>IF(D660="","",IFERROR(INDEX(Setup!$B$24:$B$59,MATCH(D660,Setup!$A$24:$A$59,0)),"Check category"))</f>
        <v/>
      </c>
      <c r="L660" s="25">
        <f>IF(A660="","",DATE(YEAR(A660),MONTH(A660),1))</f>
        <v/>
      </c>
      <c r="M660" s="26">
        <f>IF(AND(E660="",F660=""),"",N(E660)-N(F660))</f>
        <v/>
      </c>
      <c r="N660" s="28" t="n"/>
    </row>
    <row r="661">
      <c r="A661" s="27" t="n"/>
      <c r="B661" s="28" t="n"/>
      <c r="C661" s="28" t="n"/>
      <c r="D661" s="28" t="n"/>
      <c r="E661" s="29" t="n"/>
      <c r="F661" s="29" t="n"/>
      <c r="G661" s="28" t="n"/>
      <c r="H661" s="28" t="n"/>
      <c r="I661" s="28" t="n"/>
      <c r="J661" s="28" t="n"/>
      <c r="K661" s="24">
        <f>IF(D661="","",IFERROR(INDEX(Setup!$B$24:$B$59,MATCH(D661,Setup!$A$24:$A$59,0)),"Check category"))</f>
        <v/>
      </c>
      <c r="L661" s="25">
        <f>IF(A661="","",DATE(YEAR(A661),MONTH(A661),1))</f>
        <v/>
      </c>
      <c r="M661" s="26">
        <f>IF(AND(E661="",F661=""),"",N(E661)-N(F661))</f>
        <v/>
      </c>
      <c r="N661" s="28" t="n"/>
    </row>
    <row r="662">
      <c r="A662" s="27" t="n"/>
      <c r="B662" s="28" t="n"/>
      <c r="C662" s="28" t="n"/>
      <c r="D662" s="28" t="n"/>
      <c r="E662" s="29" t="n"/>
      <c r="F662" s="29" t="n"/>
      <c r="G662" s="28" t="n"/>
      <c r="H662" s="28" t="n"/>
      <c r="I662" s="28" t="n"/>
      <c r="J662" s="28" t="n"/>
      <c r="K662" s="24">
        <f>IF(D662="","",IFERROR(INDEX(Setup!$B$24:$B$59,MATCH(D662,Setup!$A$24:$A$59,0)),"Check category"))</f>
        <v/>
      </c>
      <c r="L662" s="25">
        <f>IF(A662="","",DATE(YEAR(A662),MONTH(A662),1))</f>
        <v/>
      </c>
      <c r="M662" s="26">
        <f>IF(AND(E662="",F662=""),"",N(E662)-N(F662))</f>
        <v/>
      </c>
      <c r="N662" s="28" t="n"/>
    </row>
    <row r="663">
      <c r="A663" s="27" t="n"/>
      <c r="B663" s="28" t="n"/>
      <c r="C663" s="28" t="n"/>
      <c r="D663" s="28" t="n"/>
      <c r="E663" s="29" t="n"/>
      <c r="F663" s="29" t="n"/>
      <c r="G663" s="28" t="n"/>
      <c r="H663" s="28" t="n"/>
      <c r="I663" s="28" t="n"/>
      <c r="J663" s="28" t="n"/>
      <c r="K663" s="24">
        <f>IF(D663="","",IFERROR(INDEX(Setup!$B$24:$B$59,MATCH(D663,Setup!$A$24:$A$59,0)),"Check category"))</f>
        <v/>
      </c>
      <c r="L663" s="25">
        <f>IF(A663="","",DATE(YEAR(A663),MONTH(A663),1))</f>
        <v/>
      </c>
      <c r="M663" s="26">
        <f>IF(AND(E663="",F663=""),"",N(E663)-N(F663))</f>
        <v/>
      </c>
      <c r="N663" s="28" t="n"/>
    </row>
    <row r="664">
      <c r="A664" s="27" t="n"/>
      <c r="B664" s="28" t="n"/>
      <c r="C664" s="28" t="n"/>
      <c r="D664" s="28" t="n"/>
      <c r="E664" s="29" t="n"/>
      <c r="F664" s="29" t="n"/>
      <c r="G664" s="28" t="n"/>
      <c r="H664" s="28" t="n"/>
      <c r="I664" s="28" t="n"/>
      <c r="J664" s="28" t="n"/>
      <c r="K664" s="24">
        <f>IF(D664="","",IFERROR(INDEX(Setup!$B$24:$B$59,MATCH(D664,Setup!$A$24:$A$59,0)),"Check category"))</f>
        <v/>
      </c>
      <c r="L664" s="25">
        <f>IF(A664="","",DATE(YEAR(A664),MONTH(A664),1))</f>
        <v/>
      </c>
      <c r="M664" s="26">
        <f>IF(AND(E664="",F664=""),"",N(E664)-N(F664))</f>
        <v/>
      </c>
      <c r="N664" s="28" t="n"/>
    </row>
    <row r="665">
      <c r="A665" s="27" t="n"/>
      <c r="B665" s="28" t="n"/>
      <c r="C665" s="28" t="n"/>
      <c r="D665" s="28" t="n"/>
      <c r="E665" s="29" t="n"/>
      <c r="F665" s="29" t="n"/>
      <c r="G665" s="28" t="n"/>
      <c r="H665" s="28" t="n"/>
      <c r="I665" s="28" t="n"/>
      <c r="J665" s="28" t="n"/>
      <c r="K665" s="24">
        <f>IF(D665="","",IFERROR(INDEX(Setup!$B$24:$B$59,MATCH(D665,Setup!$A$24:$A$59,0)),"Check category"))</f>
        <v/>
      </c>
      <c r="L665" s="25">
        <f>IF(A665="","",DATE(YEAR(A665),MONTH(A665),1))</f>
        <v/>
      </c>
      <c r="M665" s="26">
        <f>IF(AND(E665="",F665=""),"",N(E665)-N(F665))</f>
        <v/>
      </c>
      <c r="N665" s="28" t="n"/>
    </row>
    <row r="666">
      <c r="A666" s="27" t="n"/>
      <c r="B666" s="28" t="n"/>
      <c r="C666" s="28" t="n"/>
      <c r="D666" s="28" t="n"/>
      <c r="E666" s="29" t="n"/>
      <c r="F666" s="29" t="n"/>
      <c r="G666" s="28" t="n"/>
      <c r="H666" s="28" t="n"/>
      <c r="I666" s="28" t="n"/>
      <c r="J666" s="28" t="n"/>
      <c r="K666" s="24">
        <f>IF(D666="","",IFERROR(INDEX(Setup!$B$24:$B$59,MATCH(D666,Setup!$A$24:$A$59,0)),"Check category"))</f>
        <v/>
      </c>
      <c r="L666" s="25">
        <f>IF(A666="","",DATE(YEAR(A666),MONTH(A666),1))</f>
        <v/>
      </c>
      <c r="M666" s="26">
        <f>IF(AND(E666="",F666=""),"",N(E666)-N(F666))</f>
        <v/>
      </c>
      <c r="N666" s="28" t="n"/>
    </row>
    <row r="667">
      <c r="A667" s="27" t="n"/>
      <c r="B667" s="28" t="n"/>
      <c r="C667" s="28" t="n"/>
      <c r="D667" s="28" t="n"/>
      <c r="E667" s="29" t="n"/>
      <c r="F667" s="29" t="n"/>
      <c r="G667" s="28" t="n"/>
      <c r="H667" s="28" t="n"/>
      <c r="I667" s="28" t="n"/>
      <c r="J667" s="28" t="n"/>
      <c r="K667" s="24">
        <f>IF(D667="","",IFERROR(INDEX(Setup!$B$24:$B$59,MATCH(D667,Setup!$A$24:$A$59,0)),"Check category"))</f>
        <v/>
      </c>
      <c r="L667" s="25">
        <f>IF(A667="","",DATE(YEAR(A667),MONTH(A667),1))</f>
        <v/>
      </c>
      <c r="M667" s="26">
        <f>IF(AND(E667="",F667=""),"",N(E667)-N(F667))</f>
        <v/>
      </c>
      <c r="N667" s="28" t="n"/>
    </row>
    <row r="668">
      <c r="A668" s="27" t="n"/>
      <c r="B668" s="28" t="n"/>
      <c r="C668" s="28" t="n"/>
      <c r="D668" s="28" t="n"/>
      <c r="E668" s="29" t="n"/>
      <c r="F668" s="29" t="n"/>
      <c r="G668" s="28" t="n"/>
      <c r="H668" s="28" t="n"/>
      <c r="I668" s="28" t="n"/>
      <c r="J668" s="28" t="n"/>
      <c r="K668" s="24">
        <f>IF(D668="","",IFERROR(INDEX(Setup!$B$24:$B$59,MATCH(D668,Setup!$A$24:$A$59,0)),"Check category"))</f>
        <v/>
      </c>
      <c r="L668" s="25">
        <f>IF(A668="","",DATE(YEAR(A668),MONTH(A668),1))</f>
        <v/>
      </c>
      <c r="M668" s="26">
        <f>IF(AND(E668="",F668=""),"",N(E668)-N(F668))</f>
        <v/>
      </c>
      <c r="N668" s="28" t="n"/>
    </row>
    <row r="669">
      <c r="A669" s="27" t="n"/>
      <c r="B669" s="28" t="n"/>
      <c r="C669" s="28" t="n"/>
      <c r="D669" s="28" t="n"/>
      <c r="E669" s="29" t="n"/>
      <c r="F669" s="29" t="n"/>
      <c r="G669" s="28" t="n"/>
      <c r="H669" s="28" t="n"/>
      <c r="I669" s="28" t="n"/>
      <c r="J669" s="28" t="n"/>
      <c r="K669" s="24">
        <f>IF(D669="","",IFERROR(INDEX(Setup!$B$24:$B$59,MATCH(D669,Setup!$A$24:$A$59,0)),"Check category"))</f>
        <v/>
      </c>
      <c r="L669" s="25">
        <f>IF(A669="","",DATE(YEAR(A669),MONTH(A669),1))</f>
        <v/>
      </c>
      <c r="M669" s="26">
        <f>IF(AND(E669="",F669=""),"",N(E669)-N(F669))</f>
        <v/>
      </c>
      <c r="N669" s="28" t="n"/>
    </row>
    <row r="670">
      <c r="A670" s="27" t="n"/>
      <c r="B670" s="28" t="n"/>
      <c r="C670" s="28" t="n"/>
      <c r="D670" s="28" t="n"/>
      <c r="E670" s="29" t="n"/>
      <c r="F670" s="29" t="n"/>
      <c r="G670" s="28" t="n"/>
      <c r="H670" s="28" t="n"/>
      <c r="I670" s="28" t="n"/>
      <c r="J670" s="28" t="n"/>
      <c r="K670" s="24">
        <f>IF(D670="","",IFERROR(INDEX(Setup!$B$24:$B$59,MATCH(D670,Setup!$A$24:$A$59,0)),"Check category"))</f>
        <v/>
      </c>
      <c r="L670" s="25">
        <f>IF(A670="","",DATE(YEAR(A670),MONTH(A670),1))</f>
        <v/>
      </c>
      <c r="M670" s="26">
        <f>IF(AND(E670="",F670=""),"",N(E670)-N(F670))</f>
        <v/>
      </c>
      <c r="N670" s="28" t="n"/>
    </row>
    <row r="671">
      <c r="A671" s="27" t="n"/>
      <c r="B671" s="28" t="n"/>
      <c r="C671" s="28" t="n"/>
      <c r="D671" s="28" t="n"/>
      <c r="E671" s="29" t="n"/>
      <c r="F671" s="29" t="n"/>
      <c r="G671" s="28" t="n"/>
      <c r="H671" s="28" t="n"/>
      <c r="I671" s="28" t="n"/>
      <c r="J671" s="28" t="n"/>
      <c r="K671" s="24">
        <f>IF(D671="","",IFERROR(INDEX(Setup!$B$24:$B$59,MATCH(D671,Setup!$A$24:$A$59,0)),"Check category"))</f>
        <v/>
      </c>
      <c r="L671" s="25">
        <f>IF(A671="","",DATE(YEAR(A671),MONTH(A671),1))</f>
        <v/>
      </c>
      <c r="M671" s="26">
        <f>IF(AND(E671="",F671=""),"",N(E671)-N(F671))</f>
        <v/>
      </c>
      <c r="N671" s="28" t="n"/>
    </row>
    <row r="672">
      <c r="A672" s="27" t="n"/>
      <c r="B672" s="28" t="n"/>
      <c r="C672" s="28" t="n"/>
      <c r="D672" s="28" t="n"/>
      <c r="E672" s="29" t="n"/>
      <c r="F672" s="29" t="n"/>
      <c r="G672" s="28" t="n"/>
      <c r="H672" s="28" t="n"/>
      <c r="I672" s="28" t="n"/>
      <c r="J672" s="28" t="n"/>
      <c r="K672" s="24">
        <f>IF(D672="","",IFERROR(INDEX(Setup!$B$24:$B$59,MATCH(D672,Setup!$A$24:$A$59,0)),"Check category"))</f>
        <v/>
      </c>
      <c r="L672" s="25">
        <f>IF(A672="","",DATE(YEAR(A672),MONTH(A672),1))</f>
        <v/>
      </c>
      <c r="M672" s="26">
        <f>IF(AND(E672="",F672=""),"",N(E672)-N(F672))</f>
        <v/>
      </c>
      <c r="N672" s="28" t="n"/>
    </row>
    <row r="673">
      <c r="A673" s="27" t="n"/>
      <c r="B673" s="28" t="n"/>
      <c r="C673" s="28" t="n"/>
      <c r="D673" s="28" t="n"/>
      <c r="E673" s="29" t="n"/>
      <c r="F673" s="29" t="n"/>
      <c r="G673" s="28" t="n"/>
      <c r="H673" s="28" t="n"/>
      <c r="I673" s="28" t="n"/>
      <c r="J673" s="28" t="n"/>
      <c r="K673" s="24">
        <f>IF(D673="","",IFERROR(INDEX(Setup!$B$24:$B$59,MATCH(D673,Setup!$A$24:$A$59,0)),"Check category"))</f>
        <v/>
      </c>
      <c r="L673" s="25">
        <f>IF(A673="","",DATE(YEAR(A673),MONTH(A673),1))</f>
        <v/>
      </c>
      <c r="M673" s="26">
        <f>IF(AND(E673="",F673=""),"",N(E673)-N(F673))</f>
        <v/>
      </c>
      <c r="N673" s="28" t="n"/>
    </row>
    <row r="674">
      <c r="A674" s="27" t="n"/>
      <c r="B674" s="28" t="n"/>
      <c r="C674" s="28" t="n"/>
      <c r="D674" s="28" t="n"/>
      <c r="E674" s="29" t="n"/>
      <c r="F674" s="29" t="n"/>
      <c r="G674" s="28" t="n"/>
      <c r="H674" s="28" t="n"/>
      <c r="I674" s="28" t="n"/>
      <c r="J674" s="28" t="n"/>
      <c r="K674" s="24">
        <f>IF(D674="","",IFERROR(INDEX(Setup!$B$24:$B$59,MATCH(D674,Setup!$A$24:$A$59,0)),"Check category"))</f>
        <v/>
      </c>
      <c r="L674" s="25">
        <f>IF(A674="","",DATE(YEAR(A674),MONTH(A674),1))</f>
        <v/>
      </c>
      <c r="M674" s="26">
        <f>IF(AND(E674="",F674=""),"",N(E674)-N(F674))</f>
        <v/>
      </c>
      <c r="N674" s="28" t="n"/>
    </row>
    <row r="675">
      <c r="A675" s="27" t="n"/>
      <c r="B675" s="28" t="n"/>
      <c r="C675" s="28" t="n"/>
      <c r="D675" s="28" t="n"/>
      <c r="E675" s="29" t="n"/>
      <c r="F675" s="29" t="n"/>
      <c r="G675" s="28" t="n"/>
      <c r="H675" s="28" t="n"/>
      <c r="I675" s="28" t="n"/>
      <c r="J675" s="28" t="n"/>
      <c r="K675" s="24">
        <f>IF(D675="","",IFERROR(INDEX(Setup!$B$24:$B$59,MATCH(D675,Setup!$A$24:$A$59,0)),"Check category"))</f>
        <v/>
      </c>
      <c r="L675" s="25">
        <f>IF(A675="","",DATE(YEAR(A675),MONTH(A675),1))</f>
        <v/>
      </c>
      <c r="M675" s="26">
        <f>IF(AND(E675="",F675=""),"",N(E675)-N(F675))</f>
        <v/>
      </c>
      <c r="N675" s="28" t="n"/>
    </row>
    <row r="676">
      <c r="A676" s="27" t="n"/>
      <c r="B676" s="28" t="n"/>
      <c r="C676" s="28" t="n"/>
      <c r="D676" s="28" t="n"/>
      <c r="E676" s="29" t="n"/>
      <c r="F676" s="29" t="n"/>
      <c r="G676" s="28" t="n"/>
      <c r="H676" s="28" t="n"/>
      <c r="I676" s="28" t="n"/>
      <c r="J676" s="28" t="n"/>
      <c r="K676" s="24">
        <f>IF(D676="","",IFERROR(INDEX(Setup!$B$24:$B$59,MATCH(D676,Setup!$A$24:$A$59,0)),"Check category"))</f>
        <v/>
      </c>
      <c r="L676" s="25">
        <f>IF(A676="","",DATE(YEAR(A676),MONTH(A676),1))</f>
        <v/>
      </c>
      <c r="M676" s="26">
        <f>IF(AND(E676="",F676=""),"",N(E676)-N(F676))</f>
        <v/>
      </c>
      <c r="N676" s="28" t="n"/>
    </row>
    <row r="677">
      <c r="A677" s="27" t="n"/>
      <c r="B677" s="28" t="n"/>
      <c r="C677" s="28" t="n"/>
      <c r="D677" s="28" t="n"/>
      <c r="E677" s="29" t="n"/>
      <c r="F677" s="29" t="n"/>
      <c r="G677" s="28" t="n"/>
      <c r="H677" s="28" t="n"/>
      <c r="I677" s="28" t="n"/>
      <c r="J677" s="28" t="n"/>
      <c r="K677" s="24">
        <f>IF(D677="","",IFERROR(INDEX(Setup!$B$24:$B$59,MATCH(D677,Setup!$A$24:$A$59,0)),"Check category"))</f>
        <v/>
      </c>
      <c r="L677" s="25">
        <f>IF(A677="","",DATE(YEAR(A677),MONTH(A677),1))</f>
        <v/>
      </c>
      <c r="M677" s="26">
        <f>IF(AND(E677="",F677=""),"",N(E677)-N(F677))</f>
        <v/>
      </c>
      <c r="N677" s="28" t="n"/>
    </row>
    <row r="678">
      <c r="A678" s="27" t="n"/>
      <c r="B678" s="28" t="n"/>
      <c r="C678" s="28" t="n"/>
      <c r="D678" s="28" t="n"/>
      <c r="E678" s="29" t="n"/>
      <c r="F678" s="29" t="n"/>
      <c r="G678" s="28" t="n"/>
      <c r="H678" s="28" t="n"/>
      <c r="I678" s="28" t="n"/>
      <c r="J678" s="28" t="n"/>
      <c r="K678" s="24">
        <f>IF(D678="","",IFERROR(INDEX(Setup!$B$24:$B$59,MATCH(D678,Setup!$A$24:$A$59,0)),"Check category"))</f>
        <v/>
      </c>
      <c r="L678" s="25">
        <f>IF(A678="","",DATE(YEAR(A678),MONTH(A678),1))</f>
        <v/>
      </c>
      <c r="M678" s="26">
        <f>IF(AND(E678="",F678=""),"",N(E678)-N(F678))</f>
        <v/>
      </c>
      <c r="N678" s="28" t="n"/>
    </row>
    <row r="679">
      <c r="A679" s="27" t="n"/>
      <c r="B679" s="28" t="n"/>
      <c r="C679" s="28" t="n"/>
      <c r="D679" s="28" t="n"/>
      <c r="E679" s="29" t="n"/>
      <c r="F679" s="29" t="n"/>
      <c r="G679" s="28" t="n"/>
      <c r="H679" s="28" t="n"/>
      <c r="I679" s="28" t="n"/>
      <c r="J679" s="28" t="n"/>
      <c r="K679" s="24">
        <f>IF(D679="","",IFERROR(INDEX(Setup!$B$24:$B$59,MATCH(D679,Setup!$A$24:$A$59,0)),"Check category"))</f>
        <v/>
      </c>
      <c r="L679" s="25">
        <f>IF(A679="","",DATE(YEAR(A679),MONTH(A679),1))</f>
        <v/>
      </c>
      <c r="M679" s="26">
        <f>IF(AND(E679="",F679=""),"",N(E679)-N(F679))</f>
        <v/>
      </c>
      <c r="N679" s="28" t="n"/>
    </row>
    <row r="680">
      <c r="A680" s="27" t="n"/>
      <c r="B680" s="28" t="n"/>
      <c r="C680" s="28" t="n"/>
      <c r="D680" s="28" t="n"/>
      <c r="E680" s="29" t="n"/>
      <c r="F680" s="29" t="n"/>
      <c r="G680" s="28" t="n"/>
      <c r="H680" s="28" t="n"/>
      <c r="I680" s="28" t="n"/>
      <c r="J680" s="28" t="n"/>
      <c r="K680" s="24">
        <f>IF(D680="","",IFERROR(INDEX(Setup!$B$24:$B$59,MATCH(D680,Setup!$A$24:$A$59,0)),"Check category"))</f>
        <v/>
      </c>
      <c r="L680" s="25">
        <f>IF(A680="","",DATE(YEAR(A680),MONTH(A680),1))</f>
        <v/>
      </c>
      <c r="M680" s="26">
        <f>IF(AND(E680="",F680=""),"",N(E680)-N(F680))</f>
        <v/>
      </c>
      <c r="N680" s="28" t="n"/>
    </row>
    <row r="681">
      <c r="A681" s="27" t="n"/>
      <c r="B681" s="28" t="n"/>
      <c r="C681" s="28" t="n"/>
      <c r="D681" s="28" t="n"/>
      <c r="E681" s="29" t="n"/>
      <c r="F681" s="29" t="n"/>
      <c r="G681" s="28" t="n"/>
      <c r="H681" s="28" t="n"/>
      <c r="I681" s="28" t="n"/>
      <c r="J681" s="28" t="n"/>
      <c r="K681" s="24">
        <f>IF(D681="","",IFERROR(INDEX(Setup!$B$24:$B$59,MATCH(D681,Setup!$A$24:$A$59,0)),"Check category"))</f>
        <v/>
      </c>
      <c r="L681" s="25">
        <f>IF(A681="","",DATE(YEAR(A681),MONTH(A681),1))</f>
        <v/>
      </c>
      <c r="M681" s="26">
        <f>IF(AND(E681="",F681=""),"",N(E681)-N(F681))</f>
        <v/>
      </c>
      <c r="N681" s="28" t="n"/>
    </row>
    <row r="682">
      <c r="A682" s="27" t="n"/>
      <c r="B682" s="28" t="n"/>
      <c r="C682" s="28" t="n"/>
      <c r="D682" s="28" t="n"/>
      <c r="E682" s="29" t="n"/>
      <c r="F682" s="29" t="n"/>
      <c r="G682" s="28" t="n"/>
      <c r="H682" s="28" t="n"/>
      <c r="I682" s="28" t="n"/>
      <c r="J682" s="28" t="n"/>
      <c r="K682" s="24">
        <f>IF(D682="","",IFERROR(INDEX(Setup!$B$24:$B$59,MATCH(D682,Setup!$A$24:$A$59,0)),"Check category"))</f>
        <v/>
      </c>
      <c r="L682" s="25">
        <f>IF(A682="","",DATE(YEAR(A682),MONTH(A682),1))</f>
        <v/>
      </c>
      <c r="M682" s="26">
        <f>IF(AND(E682="",F682=""),"",N(E682)-N(F682))</f>
        <v/>
      </c>
      <c r="N682" s="28" t="n"/>
    </row>
    <row r="683">
      <c r="A683" s="27" t="n"/>
      <c r="B683" s="28" t="n"/>
      <c r="C683" s="28" t="n"/>
      <c r="D683" s="28" t="n"/>
      <c r="E683" s="29" t="n"/>
      <c r="F683" s="29" t="n"/>
      <c r="G683" s="28" t="n"/>
      <c r="H683" s="28" t="n"/>
      <c r="I683" s="28" t="n"/>
      <c r="J683" s="28" t="n"/>
      <c r="K683" s="24">
        <f>IF(D683="","",IFERROR(INDEX(Setup!$B$24:$B$59,MATCH(D683,Setup!$A$24:$A$59,0)),"Check category"))</f>
        <v/>
      </c>
      <c r="L683" s="25">
        <f>IF(A683="","",DATE(YEAR(A683),MONTH(A683),1))</f>
        <v/>
      </c>
      <c r="M683" s="26">
        <f>IF(AND(E683="",F683=""),"",N(E683)-N(F683))</f>
        <v/>
      </c>
      <c r="N683" s="28" t="n"/>
    </row>
    <row r="684">
      <c r="A684" s="27" t="n"/>
      <c r="B684" s="28" t="n"/>
      <c r="C684" s="28" t="n"/>
      <c r="D684" s="28" t="n"/>
      <c r="E684" s="29" t="n"/>
      <c r="F684" s="29" t="n"/>
      <c r="G684" s="28" t="n"/>
      <c r="H684" s="28" t="n"/>
      <c r="I684" s="28" t="n"/>
      <c r="J684" s="28" t="n"/>
      <c r="K684" s="24">
        <f>IF(D684="","",IFERROR(INDEX(Setup!$B$24:$B$59,MATCH(D684,Setup!$A$24:$A$59,0)),"Check category"))</f>
        <v/>
      </c>
      <c r="L684" s="25">
        <f>IF(A684="","",DATE(YEAR(A684),MONTH(A684),1))</f>
        <v/>
      </c>
      <c r="M684" s="26">
        <f>IF(AND(E684="",F684=""),"",N(E684)-N(F684))</f>
        <v/>
      </c>
      <c r="N684" s="28" t="n"/>
    </row>
    <row r="685">
      <c r="A685" s="27" t="n"/>
      <c r="B685" s="28" t="n"/>
      <c r="C685" s="28" t="n"/>
      <c r="D685" s="28" t="n"/>
      <c r="E685" s="29" t="n"/>
      <c r="F685" s="29" t="n"/>
      <c r="G685" s="28" t="n"/>
      <c r="H685" s="28" t="n"/>
      <c r="I685" s="28" t="n"/>
      <c r="J685" s="28" t="n"/>
      <c r="K685" s="24">
        <f>IF(D685="","",IFERROR(INDEX(Setup!$B$24:$B$59,MATCH(D685,Setup!$A$24:$A$59,0)),"Check category"))</f>
        <v/>
      </c>
      <c r="L685" s="25">
        <f>IF(A685="","",DATE(YEAR(A685),MONTH(A685),1))</f>
        <v/>
      </c>
      <c r="M685" s="26">
        <f>IF(AND(E685="",F685=""),"",N(E685)-N(F685))</f>
        <v/>
      </c>
      <c r="N685" s="28" t="n"/>
    </row>
    <row r="686">
      <c r="A686" s="27" t="n"/>
      <c r="B686" s="28" t="n"/>
      <c r="C686" s="28" t="n"/>
      <c r="D686" s="28" t="n"/>
      <c r="E686" s="29" t="n"/>
      <c r="F686" s="29" t="n"/>
      <c r="G686" s="28" t="n"/>
      <c r="H686" s="28" t="n"/>
      <c r="I686" s="28" t="n"/>
      <c r="J686" s="28" t="n"/>
      <c r="K686" s="24">
        <f>IF(D686="","",IFERROR(INDEX(Setup!$B$24:$B$59,MATCH(D686,Setup!$A$24:$A$59,0)),"Check category"))</f>
        <v/>
      </c>
      <c r="L686" s="25">
        <f>IF(A686="","",DATE(YEAR(A686),MONTH(A686),1))</f>
        <v/>
      </c>
      <c r="M686" s="26">
        <f>IF(AND(E686="",F686=""),"",N(E686)-N(F686))</f>
        <v/>
      </c>
      <c r="N686" s="28" t="n"/>
    </row>
    <row r="687">
      <c r="A687" s="27" t="n"/>
      <c r="B687" s="28" t="n"/>
      <c r="C687" s="28" t="n"/>
      <c r="D687" s="28" t="n"/>
      <c r="E687" s="29" t="n"/>
      <c r="F687" s="29" t="n"/>
      <c r="G687" s="28" t="n"/>
      <c r="H687" s="28" t="n"/>
      <c r="I687" s="28" t="n"/>
      <c r="J687" s="28" t="n"/>
      <c r="K687" s="24">
        <f>IF(D687="","",IFERROR(INDEX(Setup!$B$24:$B$59,MATCH(D687,Setup!$A$24:$A$59,0)),"Check category"))</f>
        <v/>
      </c>
      <c r="L687" s="25">
        <f>IF(A687="","",DATE(YEAR(A687),MONTH(A687),1))</f>
        <v/>
      </c>
      <c r="M687" s="26">
        <f>IF(AND(E687="",F687=""),"",N(E687)-N(F687))</f>
        <v/>
      </c>
      <c r="N687" s="28" t="n"/>
    </row>
    <row r="688">
      <c r="A688" s="27" t="n"/>
      <c r="B688" s="28" t="n"/>
      <c r="C688" s="28" t="n"/>
      <c r="D688" s="28" t="n"/>
      <c r="E688" s="29" t="n"/>
      <c r="F688" s="29" t="n"/>
      <c r="G688" s="28" t="n"/>
      <c r="H688" s="28" t="n"/>
      <c r="I688" s="28" t="n"/>
      <c r="J688" s="28" t="n"/>
      <c r="K688" s="24">
        <f>IF(D688="","",IFERROR(INDEX(Setup!$B$24:$B$59,MATCH(D688,Setup!$A$24:$A$59,0)),"Check category"))</f>
        <v/>
      </c>
      <c r="L688" s="25">
        <f>IF(A688="","",DATE(YEAR(A688),MONTH(A688),1))</f>
        <v/>
      </c>
      <c r="M688" s="26">
        <f>IF(AND(E688="",F688=""),"",N(E688)-N(F688))</f>
        <v/>
      </c>
      <c r="N688" s="28" t="n"/>
    </row>
    <row r="689">
      <c r="A689" s="27" t="n"/>
      <c r="B689" s="28" t="n"/>
      <c r="C689" s="28" t="n"/>
      <c r="D689" s="28" t="n"/>
      <c r="E689" s="29" t="n"/>
      <c r="F689" s="29" t="n"/>
      <c r="G689" s="28" t="n"/>
      <c r="H689" s="28" t="n"/>
      <c r="I689" s="28" t="n"/>
      <c r="J689" s="28" t="n"/>
      <c r="K689" s="24">
        <f>IF(D689="","",IFERROR(INDEX(Setup!$B$24:$B$59,MATCH(D689,Setup!$A$24:$A$59,0)),"Check category"))</f>
        <v/>
      </c>
      <c r="L689" s="25">
        <f>IF(A689="","",DATE(YEAR(A689),MONTH(A689),1))</f>
        <v/>
      </c>
      <c r="M689" s="26">
        <f>IF(AND(E689="",F689=""),"",N(E689)-N(F689))</f>
        <v/>
      </c>
      <c r="N689" s="28" t="n"/>
    </row>
    <row r="690">
      <c r="A690" s="27" t="n"/>
      <c r="B690" s="28" t="n"/>
      <c r="C690" s="28" t="n"/>
      <c r="D690" s="28" t="n"/>
      <c r="E690" s="29" t="n"/>
      <c r="F690" s="29" t="n"/>
      <c r="G690" s="28" t="n"/>
      <c r="H690" s="28" t="n"/>
      <c r="I690" s="28" t="n"/>
      <c r="J690" s="28" t="n"/>
      <c r="K690" s="24">
        <f>IF(D690="","",IFERROR(INDEX(Setup!$B$24:$B$59,MATCH(D690,Setup!$A$24:$A$59,0)),"Check category"))</f>
        <v/>
      </c>
      <c r="L690" s="25">
        <f>IF(A690="","",DATE(YEAR(A690),MONTH(A690),1))</f>
        <v/>
      </c>
      <c r="M690" s="26">
        <f>IF(AND(E690="",F690=""),"",N(E690)-N(F690))</f>
        <v/>
      </c>
      <c r="N690" s="28" t="n"/>
    </row>
    <row r="691">
      <c r="A691" s="27" t="n"/>
      <c r="B691" s="28" t="n"/>
      <c r="C691" s="28" t="n"/>
      <c r="D691" s="28" t="n"/>
      <c r="E691" s="29" t="n"/>
      <c r="F691" s="29" t="n"/>
      <c r="G691" s="28" t="n"/>
      <c r="H691" s="28" t="n"/>
      <c r="I691" s="28" t="n"/>
      <c r="J691" s="28" t="n"/>
      <c r="K691" s="24">
        <f>IF(D691="","",IFERROR(INDEX(Setup!$B$24:$B$59,MATCH(D691,Setup!$A$24:$A$59,0)),"Check category"))</f>
        <v/>
      </c>
      <c r="L691" s="25">
        <f>IF(A691="","",DATE(YEAR(A691),MONTH(A691),1))</f>
        <v/>
      </c>
      <c r="M691" s="26">
        <f>IF(AND(E691="",F691=""),"",N(E691)-N(F691))</f>
        <v/>
      </c>
      <c r="N691" s="28" t="n"/>
    </row>
    <row r="692">
      <c r="A692" s="27" t="n"/>
      <c r="B692" s="28" t="n"/>
      <c r="C692" s="28" t="n"/>
      <c r="D692" s="28" t="n"/>
      <c r="E692" s="29" t="n"/>
      <c r="F692" s="29" t="n"/>
      <c r="G692" s="28" t="n"/>
      <c r="H692" s="28" t="n"/>
      <c r="I692" s="28" t="n"/>
      <c r="J692" s="28" t="n"/>
      <c r="K692" s="24">
        <f>IF(D692="","",IFERROR(INDEX(Setup!$B$24:$B$59,MATCH(D692,Setup!$A$24:$A$59,0)),"Check category"))</f>
        <v/>
      </c>
      <c r="L692" s="25">
        <f>IF(A692="","",DATE(YEAR(A692),MONTH(A692),1))</f>
        <v/>
      </c>
      <c r="M692" s="26">
        <f>IF(AND(E692="",F692=""),"",N(E692)-N(F692))</f>
        <v/>
      </c>
      <c r="N692" s="28" t="n"/>
    </row>
    <row r="693">
      <c r="A693" s="27" t="n"/>
      <c r="B693" s="28" t="n"/>
      <c r="C693" s="28" t="n"/>
      <c r="D693" s="28" t="n"/>
      <c r="E693" s="29" t="n"/>
      <c r="F693" s="29" t="n"/>
      <c r="G693" s="28" t="n"/>
      <c r="H693" s="28" t="n"/>
      <c r="I693" s="28" t="n"/>
      <c r="J693" s="28" t="n"/>
      <c r="K693" s="24">
        <f>IF(D693="","",IFERROR(INDEX(Setup!$B$24:$B$59,MATCH(D693,Setup!$A$24:$A$59,0)),"Check category"))</f>
        <v/>
      </c>
      <c r="L693" s="25">
        <f>IF(A693="","",DATE(YEAR(A693),MONTH(A693),1))</f>
        <v/>
      </c>
      <c r="M693" s="26">
        <f>IF(AND(E693="",F693=""),"",N(E693)-N(F693))</f>
        <v/>
      </c>
      <c r="N693" s="28" t="n"/>
    </row>
    <row r="694">
      <c r="A694" s="27" t="n"/>
      <c r="B694" s="28" t="n"/>
      <c r="C694" s="28" t="n"/>
      <c r="D694" s="28" t="n"/>
      <c r="E694" s="29" t="n"/>
      <c r="F694" s="29" t="n"/>
      <c r="G694" s="28" t="n"/>
      <c r="H694" s="28" t="n"/>
      <c r="I694" s="28" t="n"/>
      <c r="J694" s="28" t="n"/>
      <c r="K694" s="24">
        <f>IF(D694="","",IFERROR(INDEX(Setup!$B$24:$B$59,MATCH(D694,Setup!$A$24:$A$59,0)),"Check category"))</f>
        <v/>
      </c>
      <c r="L694" s="25">
        <f>IF(A694="","",DATE(YEAR(A694),MONTH(A694),1))</f>
        <v/>
      </c>
      <c r="M694" s="26">
        <f>IF(AND(E694="",F694=""),"",N(E694)-N(F694))</f>
        <v/>
      </c>
      <c r="N694" s="28" t="n"/>
    </row>
    <row r="695">
      <c r="A695" s="27" t="n"/>
      <c r="B695" s="28" t="n"/>
      <c r="C695" s="28" t="n"/>
      <c r="D695" s="28" t="n"/>
      <c r="E695" s="29" t="n"/>
      <c r="F695" s="29" t="n"/>
      <c r="G695" s="28" t="n"/>
      <c r="H695" s="28" t="n"/>
      <c r="I695" s="28" t="n"/>
      <c r="J695" s="28" t="n"/>
      <c r="K695" s="24">
        <f>IF(D695="","",IFERROR(INDEX(Setup!$B$24:$B$59,MATCH(D695,Setup!$A$24:$A$59,0)),"Check category"))</f>
        <v/>
      </c>
      <c r="L695" s="25">
        <f>IF(A695="","",DATE(YEAR(A695),MONTH(A695),1))</f>
        <v/>
      </c>
      <c r="M695" s="26">
        <f>IF(AND(E695="",F695=""),"",N(E695)-N(F695))</f>
        <v/>
      </c>
      <c r="N695" s="28" t="n"/>
    </row>
    <row r="696">
      <c r="A696" s="27" t="n"/>
      <c r="B696" s="28" t="n"/>
      <c r="C696" s="28" t="n"/>
      <c r="D696" s="28" t="n"/>
      <c r="E696" s="29" t="n"/>
      <c r="F696" s="29" t="n"/>
      <c r="G696" s="28" t="n"/>
      <c r="H696" s="28" t="n"/>
      <c r="I696" s="28" t="n"/>
      <c r="J696" s="28" t="n"/>
      <c r="K696" s="24">
        <f>IF(D696="","",IFERROR(INDEX(Setup!$B$24:$B$59,MATCH(D696,Setup!$A$24:$A$59,0)),"Check category"))</f>
        <v/>
      </c>
      <c r="L696" s="25">
        <f>IF(A696="","",DATE(YEAR(A696),MONTH(A696),1))</f>
        <v/>
      </c>
      <c r="M696" s="26">
        <f>IF(AND(E696="",F696=""),"",N(E696)-N(F696))</f>
        <v/>
      </c>
      <c r="N696" s="28" t="n"/>
    </row>
    <row r="697">
      <c r="A697" s="27" t="n"/>
      <c r="B697" s="28" t="n"/>
      <c r="C697" s="28" t="n"/>
      <c r="D697" s="28" t="n"/>
      <c r="E697" s="29" t="n"/>
      <c r="F697" s="29" t="n"/>
      <c r="G697" s="28" t="n"/>
      <c r="H697" s="28" t="n"/>
      <c r="I697" s="28" t="n"/>
      <c r="J697" s="28" t="n"/>
      <c r="K697" s="24">
        <f>IF(D697="","",IFERROR(INDEX(Setup!$B$24:$B$59,MATCH(D697,Setup!$A$24:$A$59,0)),"Check category"))</f>
        <v/>
      </c>
      <c r="L697" s="25">
        <f>IF(A697="","",DATE(YEAR(A697),MONTH(A697),1))</f>
        <v/>
      </c>
      <c r="M697" s="26">
        <f>IF(AND(E697="",F697=""),"",N(E697)-N(F697))</f>
        <v/>
      </c>
      <c r="N697" s="28" t="n"/>
    </row>
    <row r="698">
      <c r="A698" s="27" t="n"/>
      <c r="B698" s="28" t="n"/>
      <c r="C698" s="28" t="n"/>
      <c r="D698" s="28" t="n"/>
      <c r="E698" s="29" t="n"/>
      <c r="F698" s="29" t="n"/>
      <c r="G698" s="28" t="n"/>
      <c r="H698" s="28" t="n"/>
      <c r="I698" s="28" t="n"/>
      <c r="J698" s="28" t="n"/>
      <c r="K698" s="24">
        <f>IF(D698="","",IFERROR(INDEX(Setup!$B$24:$B$59,MATCH(D698,Setup!$A$24:$A$59,0)),"Check category"))</f>
        <v/>
      </c>
      <c r="L698" s="25">
        <f>IF(A698="","",DATE(YEAR(A698),MONTH(A698),1))</f>
        <v/>
      </c>
      <c r="M698" s="26">
        <f>IF(AND(E698="",F698=""),"",N(E698)-N(F698))</f>
        <v/>
      </c>
      <c r="N698" s="28" t="n"/>
    </row>
    <row r="699">
      <c r="A699" s="27" t="n"/>
      <c r="B699" s="28" t="n"/>
      <c r="C699" s="28" t="n"/>
      <c r="D699" s="28" t="n"/>
      <c r="E699" s="29" t="n"/>
      <c r="F699" s="29" t="n"/>
      <c r="G699" s="28" t="n"/>
      <c r="H699" s="28" t="n"/>
      <c r="I699" s="28" t="n"/>
      <c r="J699" s="28" t="n"/>
      <c r="K699" s="24">
        <f>IF(D699="","",IFERROR(INDEX(Setup!$B$24:$B$59,MATCH(D699,Setup!$A$24:$A$59,0)),"Check category"))</f>
        <v/>
      </c>
      <c r="L699" s="25">
        <f>IF(A699="","",DATE(YEAR(A699),MONTH(A699),1))</f>
        <v/>
      </c>
      <c r="M699" s="26">
        <f>IF(AND(E699="",F699=""),"",N(E699)-N(F699))</f>
        <v/>
      </c>
      <c r="N699" s="28" t="n"/>
    </row>
    <row r="700">
      <c r="A700" s="27" t="n"/>
      <c r="B700" s="28" t="n"/>
      <c r="C700" s="28" t="n"/>
      <c r="D700" s="28" t="n"/>
      <c r="E700" s="29" t="n"/>
      <c r="F700" s="29" t="n"/>
      <c r="G700" s="28" t="n"/>
      <c r="H700" s="28" t="n"/>
      <c r="I700" s="28" t="n"/>
      <c r="J700" s="28" t="n"/>
      <c r="K700" s="24">
        <f>IF(D700="","",IFERROR(INDEX(Setup!$B$24:$B$59,MATCH(D700,Setup!$A$24:$A$59,0)),"Check category"))</f>
        <v/>
      </c>
      <c r="L700" s="25">
        <f>IF(A700="","",DATE(YEAR(A700),MONTH(A700),1))</f>
        <v/>
      </c>
      <c r="M700" s="26">
        <f>IF(AND(E700="",F700=""),"",N(E700)-N(F700))</f>
        <v/>
      </c>
      <c r="N700" s="28" t="n"/>
    </row>
    <row r="701">
      <c r="A701" s="27" t="n"/>
      <c r="B701" s="28" t="n"/>
      <c r="C701" s="28" t="n"/>
      <c r="D701" s="28" t="n"/>
      <c r="E701" s="29" t="n"/>
      <c r="F701" s="29" t="n"/>
      <c r="G701" s="28" t="n"/>
      <c r="H701" s="28" t="n"/>
      <c r="I701" s="28" t="n"/>
      <c r="J701" s="28" t="n"/>
      <c r="K701" s="24">
        <f>IF(D701="","",IFERROR(INDEX(Setup!$B$24:$B$59,MATCH(D701,Setup!$A$24:$A$59,0)),"Check category"))</f>
        <v/>
      </c>
      <c r="L701" s="25">
        <f>IF(A701="","",DATE(YEAR(A701),MONTH(A701),1))</f>
        <v/>
      </c>
      <c r="M701" s="26">
        <f>IF(AND(E701="",F701=""),"",N(E701)-N(F701))</f>
        <v/>
      </c>
      <c r="N701" s="28" t="n"/>
    </row>
    <row r="702">
      <c r="A702" s="27" t="n"/>
      <c r="B702" s="28" t="n"/>
      <c r="C702" s="28" t="n"/>
      <c r="D702" s="28" t="n"/>
      <c r="E702" s="29" t="n"/>
      <c r="F702" s="29" t="n"/>
      <c r="G702" s="28" t="n"/>
      <c r="H702" s="28" t="n"/>
      <c r="I702" s="28" t="n"/>
      <c r="J702" s="28" t="n"/>
      <c r="K702" s="24">
        <f>IF(D702="","",IFERROR(INDEX(Setup!$B$24:$B$59,MATCH(D702,Setup!$A$24:$A$59,0)),"Check category"))</f>
        <v/>
      </c>
      <c r="L702" s="25">
        <f>IF(A702="","",DATE(YEAR(A702),MONTH(A702),1))</f>
        <v/>
      </c>
      <c r="M702" s="26">
        <f>IF(AND(E702="",F702=""),"",N(E702)-N(F702))</f>
        <v/>
      </c>
      <c r="N702" s="28" t="n"/>
    </row>
    <row r="703">
      <c r="A703" s="27" t="n"/>
      <c r="B703" s="28" t="n"/>
      <c r="C703" s="28" t="n"/>
      <c r="D703" s="28" t="n"/>
      <c r="E703" s="29" t="n"/>
      <c r="F703" s="29" t="n"/>
      <c r="G703" s="28" t="n"/>
      <c r="H703" s="28" t="n"/>
      <c r="I703" s="28" t="n"/>
      <c r="J703" s="28" t="n"/>
      <c r="K703" s="24">
        <f>IF(D703="","",IFERROR(INDEX(Setup!$B$24:$B$59,MATCH(D703,Setup!$A$24:$A$59,0)),"Check category"))</f>
        <v/>
      </c>
      <c r="L703" s="25">
        <f>IF(A703="","",DATE(YEAR(A703),MONTH(A703),1))</f>
        <v/>
      </c>
      <c r="M703" s="26">
        <f>IF(AND(E703="",F703=""),"",N(E703)-N(F703))</f>
        <v/>
      </c>
      <c r="N703" s="28" t="n"/>
    </row>
    <row r="704">
      <c r="A704" s="27" t="n"/>
      <c r="B704" s="28" t="n"/>
      <c r="C704" s="28" t="n"/>
      <c r="D704" s="28" t="n"/>
      <c r="E704" s="29" t="n"/>
      <c r="F704" s="29" t="n"/>
      <c r="G704" s="28" t="n"/>
      <c r="H704" s="28" t="n"/>
      <c r="I704" s="28" t="n"/>
      <c r="J704" s="28" t="n"/>
      <c r="K704" s="24">
        <f>IF(D704="","",IFERROR(INDEX(Setup!$B$24:$B$59,MATCH(D704,Setup!$A$24:$A$59,0)),"Check category"))</f>
        <v/>
      </c>
      <c r="L704" s="25">
        <f>IF(A704="","",DATE(YEAR(A704),MONTH(A704),1))</f>
        <v/>
      </c>
      <c r="M704" s="26">
        <f>IF(AND(E704="",F704=""),"",N(E704)-N(F704))</f>
        <v/>
      </c>
      <c r="N704" s="28" t="n"/>
    </row>
    <row r="705">
      <c r="A705" s="27" t="n"/>
      <c r="B705" s="28" t="n"/>
      <c r="C705" s="28" t="n"/>
      <c r="D705" s="28" t="n"/>
      <c r="E705" s="29" t="n"/>
      <c r="F705" s="29" t="n"/>
      <c r="G705" s="28" t="n"/>
      <c r="H705" s="28" t="n"/>
      <c r="I705" s="28" t="n"/>
      <c r="J705" s="28" t="n"/>
      <c r="K705" s="24">
        <f>IF(D705="","",IFERROR(INDEX(Setup!$B$24:$B$59,MATCH(D705,Setup!$A$24:$A$59,0)),"Check category"))</f>
        <v/>
      </c>
      <c r="L705" s="25">
        <f>IF(A705="","",DATE(YEAR(A705),MONTH(A705),1))</f>
        <v/>
      </c>
      <c r="M705" s="26">
        <f>IF(AND(E705="",F705=""),"",N(E705)-N(F705))</f>
        <v/>
      </c>
      <c r="N705" s="28" t="n"/>
    </row>
    <row r="706">
      <c r="A706" s="27" t="n"/>
      <c r="B706" s="28" t="n"/>
      <c r="C706" s="28" t="n"/>
      <c r="D706" s="28" t="n"/>
      <c r="E706" s="29" t="n"/>
      <c r="F706" s="29" t="n"/>
      <c r="G706" s="28" t="n"/>
      <c r="H706" s="28" t="n"/>
      <c r="I706" s="28" t="n"/>
      <c r="J706" s="28" t="n"/>
      <c r="K706" s="24">
        <f>IF(D706="","",IFERROR(INDEX(Setup!$B$24:$B$59,MATCH(D706,Setup!$A$24:$A$59,0)),"Check category"))</f>
        <v/>
      </c>
      <c r="L706" s="25">
        <f>IF(A706="","",DATE(YEAR(A706),MONTH(A706),1))</f>
        <v/>
      </c>
      <c r="M706" s="26">
        <f>IF(AND(E706="",F706=""),"",N(E706)-N(F706))</f>
        <v/>
      </c>
      <c r="N706" s="28" t="n"/>
    </row>
    <row r="707">
      <c r="A707" s="27" t="n"/>
      <c r="B707" s="28" t="n"/>
      <c r="C707" s="28" t="n"/>
      <c r="D707" s="28" t="n"/>
      <c r="E707" s="29" t="n"/>
      <c r="F707" s="29" t="n"/>
      <c r="G707" s="28" t="n"/>
      <c r="H707" s="28" t="n"/>
      <c r="I707" s="28" t="n"/>
      <c r="J707" s="28" t="n"/>
      <c r="K707" s="24">
        <f>IF(D707="","",IFERROR(INDEX(Setup!$B$24:$B$59,MATCH(D707,Setup!$A$24:$A$59,0)),"Check category"))</f>
        <v/>
      </c>
      <c r="L707" s="25">
        <f>IF(A707="","",DATE(YEAR(A707),MONTH(A707),1))</f>
        <v/>
      </c>
      <c r="M707" s="26">
        <f>IF(AND(E707="",F707=""),"",N(E707)-N(F707))</f>
        <v/>
      </c>
      <c r="N707" s="28" t="n"/>
    </row>
    <row r="708">
      <c r="A708" s="27" t="n"/>
      <c r="B708" s="28" t="n"/>
      <c r="C708" s="28" t="n"/>
      <c r="D708" s="28" t="n"/>
      <c r="E708" s="29" t="n"/>
      <c r="F708" s="29" t="n"/>
      <c r="G708" s="28" t="n"/>
      <c r="H708" s="28" t="n"/>
      <c r="I708" s="28" t="n"/>
      <c r="J708" s="28" t="n"/>
      <c r="K708" s="24">
        <f>IF(D708="","",IFERROR(INDEX(Setup!$B$24:$B$59,MATCH(D708,Setup!$A$24:$A$59,0)),"Check category"))</f>
        <v/>
      </c>
      <c r="L708" s="25">
        <f>IF(A708="","",DATE(YEAR(A708),MONTH(A708),1))</f>
        <v/>
      </c>
      <c r="M708" s="26">
        <f>IF(AND(E708="",F708=""),"",N(E708)-N(F708))</f>
        <v/>
      </c>
      <c r="N708" s="28" t="n"/>
    </row>
    <row r="709">
      <c r="A709" s="27" t="n"/>
      <c r="B709" s="28" t="n"/>
      <c r="C709" s="28" t="n"/>
      <c r="D709" s="28" t="n"/>
      <c r="E709" s="29" t="n"/>
      <c r="F709" s="29" t="n"/>
      <c r="G709" s="28" t="n"/>
      <c r="H709" s="28" t="n"/>
      <c r="I709" s="28" t="n"/>
      <c r="J709" s="28" t="n"/>
      <c r="K709" s="24">
        <f>IF(D709="","",IFERROR(INDEX(Setup!$B$24:$B$59,MATCH(D709,Setup!$A$24:$A$59,0)),"Check category"))</f>
        <v/>
      </c>
      <c r="L709" s="25">
        <f>IF(A709="","",DATE(YEAR(A709),MONTH(A709),1))</f>
        <v/>
      </c>
      <c r="M709" s="26">
        <f>IF(AND(E709="",F709=""),"",N(E709)-N(F709))</f>
        <v/>
      </c>
      <c r="N709" s="28" t="n"/>
    </row>
    <row r="710">
      <c r="A710" s="27" t="n"/>
      <c r="B710" s="28" t="n"/>
      <c r="C710" s="28" t="n"/>
      <c r="D710" s="28" t="n"/>
      <c r="E710" s="29" t="n"/>
      <c r="F710" s="29" t="n"/>
      <c r="G710" s="28" t="n"/>
      <c r="H710" s="28" t="n"/>
      <c r="I710" s="28" t="n"/>
      <c r="J710" s="28" t="n"/>
      <c r="K710" s="24">
        <f>IF(D710="","",IFERROR(INDEX(Setup!$B$24:$B$59,MATCH(D710,Setup!$A$24:$A$59,0)),"Check category"))</f>
        <v/>
      </c>
      <c r="L710" s="25">
        <f>IF(A710="","",DATE(YEAR(A710),MONTH(A710),1))</f>
        <v/>
      </c>
      <c r="M710" s="26">
        <f>IF(AND(E710="",F710=""),"",N(E710)-N(F710))</f>
        <v/>
      </c>
      <c r="N710" s="28" t="n"/>
    </row>
    <row r="711">
      <c r="A711" s="27" t="n"/>
      <c r="B711" s="28" t="n"/>
      <c r="C711" s="28" t="n"/>
      <c r="D711" s="28" t="n"/>
      <c r="E711" s="29" t="n"/>
      <c r="F711" s="29" t="n"/>
      <c r="G711" s="28" t="n"/>
      <c r="H711" s="28" t="n"/>
      <c r="I711" s="28" t="n"/>
      <c r="J711" s="28" t="n"/>
      <c r="K711" s="24">
        <f>IF(D711="","",IFERROR(INDEX(Setup!$B$24:$B$59,MATCH(D711,Setup!$A$24:$A$59,0)),"Check category"))</f>
        <v/>
      </c>
      <c r="L711" s="25">
        <f>IF(A711="","",DATE(YEAR(A711),MONTH(A711),1))</f>
        <v/>
      </c>
      <c r="M711" s="26">
        <f>IF(AND(E711="",F711=""),"",N(E711)-N(F711))</f>
        <v/>
      </c>
      <c r="N711" s="28" t="n"/>
    </row>
    <row r="712">
      <c r="A712" s="27" t="n"/>
      <c r="B712" s="28" t="n"/>
      <c r="C712" s="28" t="n"/>
      <c r="D712" s="28" t="n"/>
      <c r="E712" s="29" t="n"/>
      <c r="F712" s="29" t="n"/>
      <c r="G712" s="28" t="n"/>
      <c r="H712" s="28" t="n"/>
      <c r="I712" s="28" t="n"/>
      <c r="J712" s="28" t="n"/>
      <c r="K712" s="24">
        <f>IF(D712="","",IFERROR(INDEX(Setup!$B$24:$B$59,MATCH(D712,Setup!$A$24:$A$59,0)),"Check category"))</f>
        <v/>
      </c>
      <c r="L712" s="25">
        <f>IF(A712="","",DATE(YEAR(A712),MONTH(A712),1))</f>
        <v/>
      </c>
      <c r="M712" s="26">
        <f>IF(AND(E712="",F712=""),"",N(E712)-N(F712))</f>
        <v/>
      </c>
      <c r="N712" s="28" t="n"/>
    </row>
    <row r="713">
      <c r="A713" s="27" t="n"/>
      <c r="B713" s="28" t="n"/>
      <c r="C713" s="28" t="n"/>
      <c r="D713" s="28" t="n"/>
      <c r="E713" s="29" t="n"/>
      <c r="F713" s="29" t="n"/>
      <c r="G713" s="28" t="n"/>
      <c r="H713" s="28" t="n"/>
      <c r="I713" s="28" t="n"/>
      <c r="J713" s="28" t="n"/>
      <c r="K713" s="24">
        <f>IF(D713="","",IFERROR(INDEX(Setup!$B$24:$B$59,MATCH(D713,Setup!$A$24:$A$59,0)),"Check category"))</f>
        <v/>
      </c>
      <c r="L713" s="25">
        <f>IF(A713="","",DATE(YEAR(A713),MONTH(A713),1))</f>
        <v/>
      </c>
      <c r="M713" s="26">
        <f>IF(AND(E713="",F713=""),"",N(E713)-N(F713))</f>
        <v/>
      </c>
      <c r="N713" s="28" t="n"/>
    </row>
    <row r="714">
      <c r="A714" s="27" t="n"/>
      <c r="B714" s="28" t="n"/>
      <c r="C714" s="28" t="n"/>
      <c r="D714" s="28" t="n"/>
      <c r="E714" s="29" t="n"/>
      <c r="F714" s="29" t="n"/>
      <c r="G714" s="28" t="n"/>
      <c r="H714" s="28" t="n"/>
      <c r="I714" s="28" t="n"/>
      <c r="J714" s="28" t="n"/>
      <c r="K714" s="24">
        <f>IF(D714="","",IFERROR(INDEX(Setup!$B$24:$B$59,MATCH(D714,Setup!$A$24:$A$59,0)),"Check category"))</f>
        <v/>
      </c>
      <c r="L714" s="25">
        <f>IF(A714="","",DATE(YEAR(A714),MONTH(A714),1))</f>
        <v/>
      </c>
      <c r="M714" s="26">
        <f>IF(AND(E714="",F714=""),"",N(E714)-N(F714))</f>
        <v/>
      </c>
      <c r="N714" s="28" t="n"/>
    </row>
    <row r="715">
      <c r="A715" s="27" t="n"/>
      <c r="B715" s="28" t="n"/>
      <c r="C715" s="28" t="n"/>
      <c r="D715" s="28" t="n"/>
      <c r="E715" s="29" t="n"/>
      <c r="F715" s="29" t="n"/>
      <c r="G715" s="28" t="n"/>
      <c r="H715" s="28" t="n"/>
      <c r="I715" s="28" t="n"/>
      <c r="J715" s="28" t="n"/>
      <c r="K715" s="24">
        <f>IF(D715="","",IFERROR(INDEX(Setup!$B$24:$B$59,MATCH(D715,Setup!$A$24:$A$59,0)),"Check category"))</f>
        <v/>
      </c>
      <c r="L715" s="25">
        <f>IF(A715="","",DATE(YEAR(A715),MONTH(A715),1))</f>
        <v/>
      </c>
      <c r="M715" s="26">
        <f>IF(AND(E715="",F715=""),"",N(E715)-N(F715))</f>
        <v/>
      </c>
      <c r="N715" s="28" t="n"/>
    </row>
    <row r="716">
      <c r="A716" s="27" t="n"/>
      <c r="B716" s="28" t="n"/>
      <c r="C716" s="28" t="n"/>
      <c r="D716" s="28" t="n"/>
      <c r="E716" s="29" t="n"/>
      <c r="F716" s="29" t="n"/>
      <c r="G716" s="28" t="n"/>
      <c r="H716" s="28" t="n"/>
      <c r="I716" s="28" t="n"/>
      <c r="J716" s="28" t="n"/>
      <c r="K716" s="24">
        <f>IF(D716="","",IFERROR(INDEX(Setup!$B$24:$B$59,MATCH(D716,Setup!$A$24:$A$59,0)),"Check category"))</f>
        <v/>
      </c>
      <c r="L716" s="25">
        <f>IF(A716="","",DATE(YEAR(A716),MONTH(A716),1))</f>
        <v/>
      </c>
      <c r="M716" s="26">
        <f>IF(AND(E716="",F716=""),"",N(E716)-N(F716))</f>
        <v/>
      </c>
      <c r="N716" s="28" t="n"/>
    </row>
    <row r="717">
      <c r="A717" s="27" t="n"/>
      <c r="B717" s="28" t="n"/>
      <c r="C717" s="28" t="n"/>
      <c r="D717" s="28" t="n"/>
      <c r="E717" s="29" t="n"/>
      <c r="F717" s="29" t="n"/>
      <c r="G717" s="28" t="n"/>
      <c r="H717" s="28" t="n"/>
      <c r="I717" s="28" t="n"/>
      <c r="J717" s="28" t="n"/>
      <c r="K717" s="24">
        <f>IF(D717="","",IFERROR(INDEX(Setup!$B$24:$B$59,MATCH(D717,Setup!$A$24:$A$59,0)),"Check category"))</f>
        <v/>
      </c>
      <c r="L717" s="25">
        <f>IF(A717="","",DATE(YEAR(A717),MONTH(A717),1))</f>
        <v/>
      </c>
      <c r="M717" s="26">
        <f>IF(AND(E717="",F717=""),"",N(E717)-N(F717))</f>
        <v/>
      </c>
      <c r="N717" s="28" t="n"/>
    </row>
    <row r="718">
      <c r="A718" s="27" t="n"/>
      <c r="B718" s="28" t="n"/>
      <c r="C718" s="28" t="n"/>
      <c r="D718" s="28" t="n"/>
      <c r="E718" s="29" t="n"/>
      <c r="F718" s="29" t="n"/>
      <c r="G718" s="28" t="n"/>
      <c r="H718" s="28" t="n"/>
      <c r="I718" s="28" t="n"/>
      <c r="J718" s="28" t="n"/>
      <c r="K718" s="24">
        <f>IF(D718="","",IFERROR(INDEX(Setup!$B$24:$B$59,MATCH(D718,Setup!$A$24:$A$59,0)),"Check category"))</f>
        <v/>
      </c>
      <c r="L718" s="25">
        <f>IF(A718="","",DATE(YEAR(A718),MONTH(A718),1))</f>
        <v/>
      </c>
      <c r="M718" s="26">
        <f>IF(AND(E718="",F718=""),"",N(E718)-N(F718))</f>
        <v/>
      </c>
      <c r="N718" s="28" t="n"/>
    </row>
    <row r="719">
      <c r="A719" s="27" t="n"/>
      <c r="B719" s="28" t="n"/>
      <c r="C719" s="28" t="n"/>
      <c r="D719" s="28" t="n"/>
      <c r="E719" s="29" t="n"/>
      <c r="F719" s="29" t="n"/>
      <c r="G719" s="28" t="n"/>
      <c r="H719" s="28" t="n"/>
      <c r="I719" s="28" t="n"/>
      <c r="J719" s="28" t="n"/>
      <c r="K719" s="24">
        <f>IF(D719="","",IFERROR(INDEX(Setup!$B$24:$B$59,MATCH(D719,Setup!$A$24:$A$59,0)),"Check category"))</f>
        <v/>
      </c>
      <c r="L719" s="25">
        <f>IF(A719="","",DATE(YEAR(A719),MONTH(A719),1))</f>
        <v/>
      </c>
      <c r="M719" s="26">
        <f>IF(AND(E719="",F719=""),"",N(E719)-N(F719))</f>
        <v/>
      </c>
      <c r="N719" s="28" t="n"/>
    </row>
    <row r="720">
      <c r="A720" s="27" t="n"/>
      <c r="B720" s="28" t="n"/>
      <c r="C720" s="28" t="n"/>
      <c r="D720" s="28" t="n"/>
      <c r="E720" s="29" t="n"/>
      <c r="F720" s="29" t="n"/>
      <c r="G720" s="28" t="n"/>
      <c r="H720" s="28" t="n"/>
      <c r="I720" s="28" t="n"/>
      <c r="J720" s="28" t="n"/>
      <c r="K720" s="24">
        <f>IF(D720="","",IFERROR(INDEX(Setup!$B$24:$B$59,MATCH(D720,Setup!$A$24:$A$59,0)),"Check category"))</f>
        <v/>
      </c>
      <c r="L720" s="25">
        <f>IF(A720="","",DATE(YEAR(A720),MONTH(A720),1))</f>
        <v/>
      </c>
      <c r="M720" s="26">
        <f>IF(AND(E720="",F720=""),"",N(E720)-N(F720))</f>
        <v/>
      </c>
      <c r="N720" s="28" t="n"/>
    </row>
    <row r="721">
      <c r="A721" s="27" t="n"/>
      <c r="B721" s="28" t="n"/>
      <c r="C721" s="28" t="n"/>
      <c r="D721" s="28" t="n"/>
      <c r="E721" s="29" t="n"/>
      <c r="F721" s="29" t="n"/>
      <c r="G721" s="28" t="n"/>
      <c r="H721" s="28" t="n"/>
      <c r="I721" s="28" t="n"/>
      <c r="J721" s="28" t="n"/>
      <c r="K721" s="24">
        <f>IF(D721="","",IFERROR(INDEX(Setup!$B$24:$B$59,MATCH(D721,Setup!$A$24:$A$59,0)),"Check category"))</f>
        <v/>
      </c>
      <c r="L721" s="25">
        <f>IF(A721="","",DATE(YEAR(A721),MONTH(A721),1))</f>
        <v/>
      </c>
      <c r="M721" s="26">
        <f>IF(AND(E721="",F721=""),"",N(E721)-N(F721))</f>
        <v/>
      </c>
      <c r="N721" s="28" t="n"/>
    </row>
    <row r="722">
      <c r="A722" s="27" t="n"/>
      <c r="B722" s="28" t="n"/>
      <c r="C722" s="28" t="n"/>
      <c r="D722" s="28" t="n"/>
      <c r="E722" s="29" t="n"/>
      <c r="F722" s="29" t="n"/>
      <c r="G722" s="28" t="n"/>
      <c r="H722" s="28" t="n"/>
      <c r="I722" s="28" t="n"/>
      <c r="J722" s="28" t="n"/>
      <c r="K722" s="24">
        <f>IF(D722="","",IFERROR(INDEX(Setup!$B$24:$B$59,MATCH(D722,Setup!$A$24:$A$59,0)),"Check category"))</f>
        <v/>
      </c>
      <c r="L722" s="25">
        <f>IF(A722="","",DATE(YEAR(A722),MONTH(A722),1))</f>
        <v/>
      </c>
      <c r="M722" s="26">
        <f>IF(AND(E722="",F722=""),"",N(E722)-N(F722))</f>
        <v/>
      </c>
      <c r="N722" s="28" t="n"/>
    </row>
    <row r="723">
      <c r="A723" s="27" t="n"/>
      <c r="B723" s="28" t="n"/>
      <c r="C723" s="28" t="n"/>
      <c r="D723" s="28" t="n"/>
      <c r="E723" s="29" t="n"/>
      <c r="F723" s="29" t="n"/>
      <c r="G723" s="28" t="n"/>
      <c r="H723" s="28" t="n"/>
      <c r="I723" s="28" t="n"/>
      <c r="J723" s="28" t="n"/>
      <c r="K723" s="24">
        <f>IF(D723="","",IFERROR(INDEX(Setup!$B$24:$B$59,MATCH(D723,Setup!$A$24:$A$59,0)),"Check category"))</f>
        <v/>
      </c>
      <c r="L723" s="25">
        <f>IF(A723="","",DATE(YEAR(A723),MONTH(A723),1))</f>
        <v/>
      </c>
      <c r="M723" s="26">
        <f>IF(AND(E723="",F723=""),"",N(E723)-N(F723))</f>
        <v/>
      </c>
      <c r="N723" s="28" t="n"/>
    </row>
    <row r="724">
      <c r="A724" s="27" t="n"/>
      <c r="B724" s="28" t="n"/>
      <c r="C724" s="28" t="n"/>
      <c r="D724" s="28" t="n"/>
      <c r="E724" s="29" t="n"/>
      <c r="F724" s="29" t="n"/>
      <c r="G724" s="28" t="n"/>
      <c r="H724" s="28" t="n"/>
      <c r="I724" s="28" t="n"/>
      <c r="J724" s="28" t="n"/>
      <c r="K724" s="24">
        <f>IF(D724="","",IFERROR(INDEX(Setup!$B$24:$B$59,MATCH(D724,Setup!$A$24:$A$59,0)),"Check category"))</f>
        <v/>
      </c>
      <c r="L724" s="25">
        <f>IF(A724="","",DATE(YEAR(A724),MONTH(A724),1))</f>
        <v/>
      </c>
      <c r="M724" s="26">
        <f>IF(AND(E724="",F724=""),"",N(E724)-N(F724))</f>
        <v/>
      </c>
      <c r="N724" s="28" t="n"/>
    </row>
    <row r="725">
      <c r="A725" s="27" t="n"/>
      <c r="B725" s="28" t="n"/>
      <c r="C725" s="28" t="n"/>
      <c r="D725" s="28" t="n"/>
      <c r="E725" s="29" t="n"/>
      <c r="F725" s="29" t="n"/>
      <c r="G725" s="28" t="n"/>
      <c r="H725" s="28" t="n"/>
      <c r="I725" s="28" t="n"/>
      <c r="J725" s="28" t="n"/>
      <c r="K725" s="24">
        <f>IF(D725="","",IFERROR(INDEX(Setup!$B$24:$B$59,MATCH(D725,Setup!$A$24:$A$59,0)),"Check category"))</f>
        <v/>
      </c>
      <c r="L725" s="25">
        <f>IF(A725="","",DATE(YEAR(A725),MONTH(A725),1))</f>
        <v/>
      </c>
      <c r="M725" s="26">
        <f>IF(AND(E725="",F725=""),"",N(E725)-N(F725))</f>
        <v/>
      </c>
      <c r="N725" s="28" t="n"/>
    </row>
    <row r="726">
      <c r="A726" s="27" t="n"/>
      <c r="B726" s="28" t="n"/>
      <c r="C726" s="28" t="n"/>
      <c r="D726" s="28" t="n"/>
      <c r="E726" s="29" t="n"/>
      <c r="F726" s="29" t="n"/>
      <c r="G726" s="28" t="n"/>
      <c r="H726" s="28" t="n"/>
      <c r="I726" s="28" t="n"/>
      <c r="J726" s="28" t="n"/>
      <c r="K726" s="24">
        <f>IF(D726="","",IFERROR(INDEX(Setup!$B$24:$B$59,MATCH(D726,Setup!$A$24:$A$59,0)),"Check category"))</f>
        <v/>
      </c>
      <c r="L726" s="25">
        <f>IF(A726="","",DATE(YEAR(A726),MONTH(A726),1))</f>
        <v/>
      </c>
      <c r="M726" s="26">
        <f>IF(AND(E726="",F726=""),"",N(E726)-N(F726))</f>
        <v/>
      </c>
      <c r="N726" s="28" t="n"/>
    </row>
    <row r="727">
      <c r="A727" s="27" t="n"/>
      <c r="B727" s="28" t="n"/>
      <c r="C727" s="28" t="n"/>
      <c r="D727" s="28" t="n"/>
      <c r="E727" s="29" t="n"/>
      <c r="F727" s="29" t="n"/>
      <c r="G727" s="28" t="n"/>
      <c r="H727" s="28" t="n"/>
      <c r="I727" s="28" t="n"/>
      <c r="J727" s="28" t="n"/>
      <c r="K727" s="24">
        <f>IF(D727="","",IFERROR(INDEX(Setup!$B$24:$B$59,MATCH(D727,Setup!$A$24:$A$59,0)),"Check category"))</f>
        <v/>
      </c>
      <c r="L727" s="25">
        <f>IF(A727="","",DATE(YEAR(A727),MONTH(A727),1))</f>
        <v/>
      </c>
      <c r="M727" s="26">
        <f>IF(AND(E727="",F727=""),"",N(E727)-N(F727))</f>
        <v/>
      </c>
      <c r="N727" s="28" t="n"/>
    </row>
    <row r="728">
      <c r="A728" s="27" t="n"/>
      <c r="B728" s="28" t="n"/>
      <c r="C728" s="28" t="n"/>
      <c r="D728" s="28" t="n"/>
      <c r="E728" s="29" t="n"/>
      <c r="F728" s="29" t="n"/>
      <c r="G728" s="28" t="n"/>
      <c r="H728" s="28" t="n"/>
      <c r="I728" s="28" t="n"/>
      <c r="J728" s="28" t="n"/>
      <c r="K728" s="24">
        <f>IF(D728="","",IFERROR(INDEX(Setup!$B$24:$B$59,MATCH(D728,Setup!$A$24:$A$59,0)),"Check category"))</f>
        <v/>
      </c>
      <c r="L728" s="25">
        <f>IF(A728="","",DATE(YEAR(A728),MONTH(A728),1))</f>
        <v/>
      </c>
      <c r="M728" s="26">
        <f>IF(AND(E728="",F728=""),"",N(E728)-N(F728))</f>
        <v/>
      </c>
      <c r="N728" s="28" t="n"/>
    </row>
    <row r="729">
      <c r="A729" s="27" t="n"/>
      <c r="B729" s="28" t="n"/>
      <c r="C729" s="28" t="n"/>
      <c r="D729" s="28" t="n"/>
      <c r="E729" s="29" t="n"/>
      <c r="F729" s="29" t="n"/>
      <c r="G729" s="28" t="n"/>
      <c r="H729" s="28" t="n"/>
      <c r="I729" s="28" t="n"/>
      <c r="J729" s="28" t="n"/>
      <c r="K729" s="24">
        <f>IF(D729="","",IFERROR(INDEX(Setup!$B$24:$B$59,MATCH(D729,Setup!$A$24:$A$59,0)),"Check category"))</f>
        <v/>
      </c>
      <c r="L729" s="25">
        <f>IF(A729="","",DATE(YEAR(A729),MONTH(A729),1))</f>
        <v/>
      </c>
      <c r="M729" s="26">
        <f>IF(AND(E729="",F729=""),"",N(E729)-N(F729))</f>
        <v/>
      </c>
      <c r="N729" s="28" t="n"/>
    </row>
    <row r="730">
      <c r="A730" s="27" t="n"/>
      <c r="B730" s="28" t="n"/>
      <c r="C730" s="28" t="n"/>
      <c r="D730" s="28" t="n"/>
      <c r="E730" s="29" t="n"/>
      <c r="F730" s="29" t="n"/>
      <c r="G730" s="28" t="n"/>
      <c r="H730" s="28" t="n"/>
      <c r="I730" s="28" t="n"/>
      <c r="J730" s="28" t="n"/>
      <c r="K730" s="24">
        <f>IF(D730="","",IFERROR(INDEX(Setup!$B$24:$B$59,MATCH(D730,Setup!$A$24:$A$59,0)),"Check category"))</f>
        <v/>
      </c>
      <c r="L730" s="25">
        <f>IF(A730="","",DATE(YEAR(A730),MONTH(A730),1))</f>
        <v/>
      </c>
      <c r="M730" s="26">
        <f>IF(AND(E730="",F730=""),"",N(E730)-N(F730))</f>
        <v/>
      </c>
      <c r="N730" s="28" t="n"/>
    </row>
    <row r="731">
      <c r="A731" s="27" t="n"/>
      <c r="B731" s="28" t="n"/>
      <c r="C731" s="28" t="n"/>
      <c r="D731" s="28" t="n"/>
      <c r="E731" s="29" t="n"/>
      <c r="F731" s="29" t="n"/>
      <c r="G731" s="28" t="n"/>
      <c r="H731" s="28" t="n"/>
      <c r="I731" s="28" t="n"/>
      <c r="J731" s="28" t="n"/>
      <c r="K731" s="24">
        <f>IF(D731="","",IFERROR(INDEX(Setup!$B$24:$B$59,MATCH(D731,Setup!$A$24:$A$59,0)),"Check category"))</f>
        <v/>
      </c>
      <c r="L731" s="25">
        <f>IF(A731="","",DATE(YEAR(A731),MONTH(A731),1))</f>
        <v/>
      </c>
      <c r="M731" s="26">
        <f>IF(AND(E731="",F731=""),"",N(E731)-N(F731))</f>
        <v/>
      </c>
      <c r="N731" s="28" t="n"/>
    </row>
    <row r="732">
      <c r="A732" s="27" t="n"/>
      <c r="B732" s="28" t="n"/>
      <c r="C732" s="28" t="n"/>
      <c r="D732" s="28" t="n"/>
      <c r="E732" s="29" t="n"/>
      <c r="F732" s="29" t="n"/>
      <c r="G732" s="28" t="n"/>
      <c r="H732" s="28" t="n"/>
      <c r="I732" s="28" t="n"/>
      <c r="J732" s="28" t="n"/>
      <c r="K732" s="24">
        <f>IF(D732="","",IFERROR(INDEX(Setup!$B$24:$B$59,MATCH(D732,Setup!$A$24:$A$59,0)),"Check category"))</f>
        <v/>
      </c>
      <c r="L732" s="25">
        <f>IF(A732="","",DATE(YEAR(A732),MONTH(A732),1))</f>
        <v/>
      </c>
      <c r="M732" s="26">
        <f>IF(AND(E732="",F732=""),"",N(E732)-N(F732))</f>
        <v/>
      </c>
      <c r="N732" s="28" t="n"/>
    </row>
    <row r="733">
      <c r="A733" s="27" t="n"/>
      <c r="B733" s="28" t="n"/>
      <c r="C733" s="28" t="n"/>
      <c r="D733" s="28" t="n"/>
      <c r="E733" s="29" t="n"/>
      <c r="F733" s="29" t="n"/>
      <c r="G733" s="28" t="n"/>
      <c r="H733" s="28" t="n"/>
      <c r="I733" s="28" t="n"/>
      <c r="J733" s="28" t="n"/>
      <c r="K733" s="24">
        <f>IF(D733="","",IFERROR(INDEX(Setup!$B$24:$B$59,MATCH(D733,Setup!$A$24:$A$59,0)),"Check category"))</f>
        <v/>
      </c>
      <c r="L733" s="25">
        <f>IF(A733="","",DATE(YEAR(A733),MONTH(A733),1))</f>
        <v/>
      </c>
      <c r="M733" s="26">
        <f>IF(AND(E733="",F733=""),"",N(E733)-N(F733))</f>
        <v/>
      </c>
      <c r="N733" s="28" t="n"/>
    </row>
    <row r="734">
      <c r="A734" s="27" t="n"/>
      <c r="B734" s="28" t="n"/>
      <c r="C734" s="28" t="n"/>
      <c r="D734" s="28" t="n"/>
      <c r="E734" s="29" t="n"/>
      <c r="F734" s="29" t="n"/>
      <c r="G734" s="28" t="n"/>
      <c r="H734" s="28" t="n"/>
      <c r="I734" s="28" t="n"/>
      <c r="J734" s="28" t="n"/>
      <c r="K734" s="24">
        <f>IF(D734="","",IFERROR(INDEX(Setup!$B$24:$B$59,MATCH(D734,Setup!$A$24:$A$59,0)),"Check category"))</f>
        <v/>
      </c>
      <c r="L734" s="25">
        <f>IF(A734="","",DATE(YEAR(A734),MONTH(A734),1))</f>
        <v/>
      </c>
      <c r="M734" s="26">
        <f>IF(AND(E734="",F734=""),"",N(E734)-N(F734))</f>
        <v/>
      </c>
      <c r="N734" s="28" t="n"/>
    </row>
    <row r="735">
      <c r="A735" s="27" t="n"/>
      <c r="B735" s="28" t="n"/>
      <c r="C735" s="28" t="n"/>
      <c r="D735" s="28" t="n"/>
      <c r="E735" s="29" t="n"/>
      <c r="F735" s="29" t="n"/>
      <c r="G735" s="28" t="n"/>
      <c r="H735" s="28" t="n"/>
      <c r="I735" s="28" t="n"/>
      <c r="J735" s="28" t="n"/>
      <c r="K735" s="24">
        <f>IF(D735="","",IFERROR(INDEX(Setup!$B$24:$B$59,MATCH(D735,Setup!$A$24:$A$59,0)),"Check category"))</f>
        <v/>
      </c>
      <c r="L735" s="25">
        <f>IF(A735="","",DATE(YEAR(A735),MONTH(A735),1))</f>
        <v/>
      </c>
      <c r="M735" s="26">
        <f>IF(AND(E735="",F735=""),"",N(E735)-N(F735))</f>
        <v/>
      </c>
      <c r="N735" s="28" t="n"/>
    </row>
    <row r="736">
      <c r="A736" s="27" t="n"/>
      <c r="B736" s="28" t="n"/>
      <c r="C736" s="28" t="n"/>
      <c r="D736" s="28" t="n"/>
      <c r="E736" s="29" t="n"/>
      <c r="F736" s="29" t="n"/>
      <c r="G736" s="28" t="n"/>
      <c r="H736" s="28" t="n"/>
      <c r="I736" s="28" t="n"/>
      <c r="J736" s="28" t="n"/>
      <c r="K736" s="24">
        <f>IF(D736="","",IFERROR(INDEX(Setup!$B$24:$B$59,MATCH(D736,Setup!$A$24:$A$59,0)),"Check category"))</f>
        <v/>
      </c>
      <c r="L736" s="25">
        <f>IF(A736="","",DATE(YEAR(A736),MONTH(A736),1))</f>
        <v/>
      </c>
      <c r="M736" s="26">
        <f>IF(AND(E736="",F736=""),"",N(E736)-N(F736))</f>
        <v/>
      </c>
      <c r="N736" s="28" t="n"/>
    </row>
    <row r="737">
      <c r="A737" s="27" t="n"/>
      <c r="B737" s="28" t="n"/>
      <c r="C737" s="28" t="n"/>
      <c r="D737" s="28" t="n"/>
      <c r="E737" s="29" t="n"/>
      <c r="F737" s="29" t="n"/>
      <c r="G737" s="28" t="n"/>
      <c r="H737" s="28" t="n"/>
      <c r="I737" s="28" t="n"/>
      <c r="J737" s="28" t="n"/>
      <c r="K737" s="24">
        <f>IF(D737="","",IFERROR(INDEX(Setup!$B$24:$B$59,MATCH(D737,Setup!$A$24:$A$59,0)),"Check category"))</f>
        <v/>
      </c>
      <c r="L737" s="25">
        <f>IF(A737="","",DATE(YEAR(A737),MONTH(A737),1))</f>
        <v/>
      </c>
      <c r="M737" s="26">
        <f>IF(AND(E737="",F737=""),"",N(E737)-N(F737))</f>
        <v/>
      </c>
      <c r="N737" s="28" t="n"/>
    </row>
    <row r="738">
      <c r="A738" s="27" t="n"/>
      <c r="B738" s="28" t="n"/>
      <c r="C738" s="28" t="n"/>
      <c r="D738" s="28" t="n"/>
      <c r="E738" s="29" t="n"/>
      <c r="F738" s="29" t="n"/>
      <c r="G738" s="28" t="n"/>
      <c r="H738" s="28" t="n"/>
      <c r="I738" s="28" t="n"/>
      <c r="J738" s="28" t="n"/>
      <c r="K738" s="24">
        <f>IF(D738="","",IFERROR(INDEX(Setup!$B$24:$B$59,MATCH(D738,Setup!$A$24:$A$59,0)),"Check category"))</f>
        <v/>
      </c>
      <c r="L738" s="25">
        <f>IF(A738="","",DATE(YEAR(A738),MONTH(A738),1))</f>
        <v/>
      </c>
      <c r="M738" s="26">
        <f>IF(AND(E738="",F738=""),"",N(E738)-N(F738))</f>
        <v/>
      </c>
      <c r="N738" s="28" t="n"/>
    </row>
    <row r="739">
      <c r="A739" s="27" t="n"/>
      <c r="B739" s="28" t="n"/>
      <c r="C739" s="28" t="n"/>
      <c r="D739" s="28" t="n"/>
      <c r="E739" s="29" t="n"/>
      <c r="F739" s="29" t="n"/>
      <c r="G739" s="28" t="n"/>
      <c r="H739" s="28" t="n"/>
      <c r="I739" s="28" t="n"/>
      <c r="J739" s="28" t="n"/>
      <c r="K739" s="24">
        <f>IF(D739="","",IFERROR(INDEX(Setup!$B$24:$B$59,MATCH(D739,Setup!$A$24:$A$59,0)),"Check category"))</f>
        <v/>
      </c>
      <c r="L739" s="25">
        <f>IF(A739="","",DATE(YEAR(A739),MONTH(A739),1))</f>
        <v/>
      </c>
      <c r="M739" s="26">
        <f>IF(AND(E739="",F739=""),"",N(E739)-N(F739))</f>
        <v/>
      </c>
      <c r="N739" s="28" t="n"/>
    </row>
    <row r="740">
      <c r="A740" s="27" t="n"/>
      <c r="B740" s="28" t="n"/>
      <c r="C740" s="28" t="n"/>
      <c r="D740" s="28" t="n"/>
      <c r="E740" s="29" t="n"/>
      <c r="F740" s="29" t="n"/>
      <c r="G740" s="28" t="n"/>
      <c r="H740" s="28" t="n"/>
      <c r="I740" s="28" t="n"/>
      <c r="J740" s="28" t="n"/>
      <c r="K740" s="24">
        <f>IF(D740="","",IFERROR(INDEX(Setup!$B$24:$B$59,MATCH(D740,Setup!$A$24:$A$59,0)),"Check category"))</f>
        <v/>
      </c>
      <c r="L740" s="25">
        <f>IF(A740="","",DATE(YEAR(A740),MONTH(A740),1))</f>
        <v/>
      </c>
      <c r="M740" s="26">
        <f>IF(AND(E740="",F740=""),"",N(E740)-N(F740))</f>
        <v/>
      </c>
      <c r="N740" s="28" t="n"/>
    </row>
    <row r="741">
      <c r="A741" s="27" t="n"/>
      <c r="B741" s="28" t="n"/>
      <c r="C741" s="28" t="n"/>
      <c r="D741" s="28" t="n"/>
      <c r="E741" s="29" t="n"/>
      <c r="F741" s="29" t="n"/>
      <c r="G741" s="28" t="n"/>
      <c r="H741" s="28" t="n"/>
      <c r="I741" s="28" t="n"/>
      <c r="J741" s="28" t="n"/>
      <c r="K741" s="24">
        <f>IF(D741="","",IFERROR(INDEX(Setup!$B$24:$B$59,MATCH(D741,Setup!$A$24:$A$59,0)),"Check category"))</f>
        <v/>
      </c>
      <c r="L741" s="25">
        <f>IF(A741="","",DATE(YEAR(A741),MONTH(A741),1))</f>
        <v/>
      </c>
      <c r="M741" s="26">
        <f>IF(AND(E741="",F741=""),"",N(E741)-N(F741))</f>
        <v/>
      </c>
      <c r="N741" s="28" t="n"/>
    </row>
    <row r="742">
      <c r="A742" s="27" t="n"/>
      <c r="B742" s="28" t="n"/>
      <c r="C742" s="28" t="n"/>
      <c r="D742" s="28" t="n"/>
      <c r="E742" s="29" t="n"/>
      <c r="F742" s="29" t="n"/>
      <c r="G742" s="28" t="n"/>
      <c r="H742" s="28" t="n"/>
      <c r="I742" s="28" t="n"/>
      <c r="J742" s="28" t="n"/>
      <c r="K742" s="24">
        <f>IF(D742="","",IFERROR(INDEX(Setup!$B$24:$B$59,MATCH(D742,Setup!$A$24:$A$59,0)),"Check category"))</f>
        <v/>
      </c>
      <c r="L742" s="25">
        <f>IF(A742="","",DATE(YEAR(A742),MONTH(A742),1))</f>
        <v/>
      </c>
      <c r="M742" s="26">
        <f>IF(AND(E742="",F742=""),"",N(E742)-N(F742))</f>
        <v/>
      </c>
      <c r="N742" s="28" t="n"/>
    </row>
    <row r="743">
      <c r="A743" s="27" t="n"/>
      <c r="B743" s="28" t="n"/>
      <c r="C743" s="28" t="n"/>
      <c r="D743" s="28" t="n"/>
      <c r="E743" s="29" t="n"/>
      <c r="F743" s="29" t="n"/>
      <c r="G743" s="28" t="n"/>
      <c r="H743" s="28" t="n"/>
      <c r="I743" s="28" t="n"/>
      <c r="J743" s="28" t="n"/>
      <c r="K743" s="24">
        <f>IF(D743="","",IFERROR(INDEX(Setup!$B$24:$B$59,MATCH(D743,Setup!$A$24:$A$59,0)),"Check category"))</f>
        <v/>
      </c>
      <c r="L743" s="25">
        <f>IF(A743="","",DATE(YEAR(A743),MONTH(A743),1))</f>
        <v/>
      </c>
      <c r="M743" s="26">
        <f>IF(AND(E743="",F743=""),"",N(E743)-N(F743))</f>
        <v/>
      </c>
      <c r="N743" s="28" t="n"/>
    </row>
    <row r="744">
      <c r="A744" s="27" t="n"/>
      <c r="B744" s="28" t="n"/>
      <c r="C744" s="28" t="n"/>
      <c r="D744" s="28" t="n"/>
      <c r="E744" s="29" t="n"/>
      <c r="F744" s="29" t="n"/>
      <c r="G744" s="28" t="n"/>
      <c r="H744" s="28" t="n"/>
      <c r="I744" s="28" t="n"/>
      <c r="J744" s="28" t="n"/>
      <c r="K744" s="24">
        <f>IF(D744="","",IFERROR(INDEX(Setup!$B$24:$B$59,MATCH(D744,Setup!$A$24:$A$59,0)),"Check category"))</f>
        <v/>
      </c>
      <c r="L744" s="25">
        <f>IF(A744="","",DATE(YEAR(A744),MONTH(A744),1))</f>
        <v/>
      </c>
      <c r="M744" s="26">
        <f>IF(AND(E744="",F744=""),"",N(E744)-N(F744))</f>
        <v/>
      </c>
      <c r="N744" s="28" t="n"/>
    </row>
    <row r="745">
      <c r="A745" s="27" t="n"/>
      <c r="B745" s="28" t="n"/>
      <c r="C745" s="28" t="n"/>
      <c r="D745" s="28" t="n"/>
      <c r="E745" s="29" t="n"/>
      <c r="F745" s="29" t="n"/>
      <c r="G745" s="28" t="n"/>
      <c r="H745" s="28" t="n"/>
      <c r="I745" s="28" t="n"/>
      <c r="J745" s="28" t="n"/>
      <c r="K745" s="24">
        <f>IF(D745="","",IFERROR(INDEX(Setup!$B$24:$B$59,MATCH(D745,Setup!$A$24:$A$59,0)),"Check category"))</f>
        <v/>
      </c>
      <c r="L745" s="25">
        <f>IF(A745="","",DATE(YEAR(A745),MONTH(A745),1))</f>
        <v/>
      </c>
      <c r="M745" s="26">
        <f>IF(AND(E745="",F745=""),"",N(E745)-N(F745))</f>
        <v/>
      </c>
      <c r="N745" s="28" t="n"/>
    </row>
    <row r="746">
      <c r="A746" s="27" t="n"/>
      <c r="B746" s="28" t="n"/>
      <c r="C746" s="28" t="n"/>
      <c r="D746" s="28" t="n"/>
      <c r="E746" s="29" t="n"/>
      <c r="F746" s="29" t="n"/>
      <c r="G746" s="28" t="n"/>
      <c r="H746" s="28" t="n"/>
      <c r="I746" s="28" t="n"/>
      <c r="J746" s="28" t="n"/>
      <c r="K746" s="24">
        <f>IF(D746="","",IFERROR(INDEX(Setup!$B$24:$B$59,MATCH(D746,Setup!$A$24:$A$59,0)),"Check category"))</f>
        <v/>
      </c>
      <c r="L746" s="25">
        <f>IF(A746="","",DATE(YEAR(A746),MONTH(A746),1))</f>
        <v/>
      </c>
      <c r="M746" s="26">
        <f>IF(AND(E746="",F746=""),"",N(E746)-N(F746))</f>
        <v/>
      </c>
      <c r="N746" s="28" t="n"/>
    </row>
    <row r="747">
      <c r="A747" s="27" t="n"/>
      <c r="B747" s="28" t="n"/>
      <c r="C747" s="28" t="n"/>
      <c r="D747" s="28" t="n"/>
      <c r="E747" s="29" t="n"/>
      <c r="F747" s="29" t="n"/>
      <c r="G747" s="28" t="n"/>
      <c r="H747" s="28" t="n"/>
      <c r="I747" s="28" t="n"/>
      <c r="J747" s="28" t="n"/>
      <c r="K747" s="24">
        <f>IF(D747="","",IFERROR(INDEX(Setup!$B$24:$B$59,MATCH(D747,Setup!$A$24:$A$59,0)),"Check category"))</f>
        <v/>
      </c>
      <c r="L747" s="25">
        <f>IF(A747="","",DATE(YEAR(A747),MONTH(A747),1))</f>
        <v/>
      </c>
      <c r="M747" s="26">
        <f>IF(AND(E747="",F747=""),"",N(E747)-N(F747))</f>
        <v/>
      </c>
      <c r="N747" s="28" t="n"/>
    </row>
    <row r="748">
      <c r="A748" s="27" t="n"/>
      <c r="B748" s="28" t="n"/>
      <c r="C748" s="28" t="n"/>
      <c r="D748" s="28" t="n"/>
      <c r="E748" s="29" t="n"/>
      <c r="F748" s="29" t="n"/>
      <c r="G748" s="28" t="n"/>
      <c r="H748" s="28" t="n"/>
      <c r="I748" s="28" t="n"/>
      <c r="J748" s="28" t="n"/>
      <c r="K748" s="24">
        <f>IF(D748="","",IFERROR(INDEX(Setup!$B$24:$B$59,MATCH(D748,Setup!$A$24:$A$59,0)),"Check category"))</f>
        <v/>
      </c>
      <c r="L748" s="25">
        <f>IF(A748="","",DATE(YEAR(A748),MONTH(A748),1))</f>
        <v/>
      </c>
      <c r="M748" s="26">
        <f>IF(AND(E748="",F748=""),"",N(E748)-N(F748))</f>
        <v/>
      </c>
      <c r="N748" s="28" t="n"/>
    </row>
    <row r="749">
      <c r="A749" s="27" t="n"/>
      <c r="B749" s="28" t="n"/>
      <c r="C749" s="28" t="n"/>
      <c r="D749" s="28" t="n"/>
      <c r="E749" s="29" t="n"/>
      <c r="F749" s="29" t="n"/>
      <c r="G749" s="28" t="n"/>
      <c r="H749" s="28" t="n"/>
      <c r="I749" s="28" t="n"/>
      <c r="J749" s="28" t="n"/>
      <c r="K749" s="24">
        <f>IF(D749="","",IFERROR(INDEX(Setup!$B$24:$B$59,MATCH(D749,Setup!$A$24:$A$59,0)),"Check category"))</f>
        <v/>
      </c>
      <c r="L749" s="25">
        <f>IF(A749="","",DATE(YEAR(A749),MONTH(A749),1))</f>
        <v/>
      </c>
      <c r="M749" s="26">
        <f>IF(AND(E749="",F749=""),"",N(E749)-N(F749))</f>
        <v/>
      </c>
      <c r="N749" s="28" t="n"/>
    </row>
    <row r="750">
      <c r="A750" s="27" t="n"/>
      <c r="B750" s="28" t="n"/>
      <c r="C750" s="28" t="n"/>
      <c r="D750" s="28" t="n"/>
      <c r="E750" s="29" t="n"/>
      <c r="F750" s="29" t="n"/>
      <c r="G750" s="28" t="n"/>
      <c r="H750" s="28" t="n"/>
      <c r="I750" s="28" t="n"/>
      <c r="J750" s="28" t="n"/>
      <c r="K750" s="24">
        <f>IF(D750="","",IFERROR(INDEX(Setup!$B$24:$B$59,MATCH(D750,Setup!$A$24:$A$59,0)),"Check category"))</f>
        <v/>
      </c>
      <c r="L750" s="25">
        <f>IF(A750="","",DATE(YEAR(A750),MONTH(A750),1))</f>
        <v/>
      </c>
      <c r="M750" s="26">
        <f>IF(AND(E750="",F750=""),"",N(E750)-N(F750))</f>
        <v/>
      </c>
      <c r="N750" s="28" t="n"/>
    </row>
    <row r="751">
      <c r="A751" s="27" t="n"/>
      <c r="B751" s="28" t="n"/>
      <c r="C751" s="28" t="n"/>
      <c r="D751" s="28" t="n"/>
      <c r="E751" s="29" t="n"/>
      <c r="F751" s="29" t="n"/>
      <c r="G751" s="28" t="n"/>
      <c r="H751" s="28" t="n"/>
      <c r="I751" s="28" t="n"/>
      <c r="J751" s="28" t="n"/>
      <c r="K751" s="24">
        <f>IF(D751="","",IFERROR(INDEX(Setup!$B$24:$B$59,MATCH(D751,Setup!$A$24:$A$59,0)),"Check category"))</f>
        <v/>
      </c>
      <c r="L751" s="25">
        <f>IF(A751="","",DATE(YEAR(A751),MONTH(A751),1))</f>
        <v/>
      </c>
      <c r="M751" s="26">
        <f>IF(AND(E751="",F751=""),"",N(E751)-N(F751))</f>
        <v/>
      </c>
      <c r="N751" s="28" t="n"/>
    </row>
    <row r="752">
      <c r="A752" s="27" t="n"/>
      <c r="B752" s="28" t="n"/>
      <c r="C752" s="28" t="n"/>
      <c r="D752" s="28" t="n"/>
      <c r="E752" s="29" t="n"/>
      <c r="F752" s="29" t="n"/>
      <c r="G752" s="28" t="n"/>
      <c r="H752" s="28" t="n"/>
      <c r="I752" s="28" t="n"/>
      <c r="J752" s="28" t="n"/>
      <c r="K752" s="24">
        <f>IF(D752="","",IFERROR(INDEX(Setup!$B$24:$B$59,MATCH(D752,Setup!$A$24:$A$59,0)),"Check category"))</f>
        <v/>
      </c>
      <c r="L752" s="25">
        <f>IF(A752="","",DATE(YEAR(A752),MONTH(A752),1))</f>
        <v/>
      </c>
      <c r="M752" s="26">
        <f>IF(AND(E752="",F752=""),"",N(E752)-N(F752))</f>
        <v/>
      </c>
      <c r="N752" s="28" t="n"/>
    </row>
    <row r="753">
      <c r="A753" s="27" t="n"/>
      <c r="B753" s="28" t="n"/>
      <c r="C753" s="28" t="n"/>
      <c r="D753" s="28" t="n"/>
      <c r="E753" s="29" t="n"/>
      <c r="F753" s="29" t="n"/>
      <c r="G753" s="28" t="n"/>
      <c r="H753" s="28" t="n"/>
      <c r="I753" s="28" t="n"/>
      <c r="J753" s="28" t="n"/>
      <c r="K753" s="24">
        <f>IF(D753="","",IFERROR(INDEX(Setup!$B$24:$B$59,MATCH(D753,Setup!$A$24:$A$59,0)),"Check category"))</f>
        <v/>
      </c>
      <c r="L753" s="25">
        <f>IF(A753="","",DATE(YEAR(A753),MONTH(A753),1))</f>
        <v/>
      </c>
      <c r="M753" s="26">
        <f>IF(AND(E753="",F753=""),"",N(E753)-N(F753))</f>
        <v/>
      </c>
      <c r="N753" s="28" t="n"/>
    </row>
    <row r="754">
      <c r="A754" s="27" t="n"/>
      <c r="B754" s="28" t="n"/>
      <c r="C754" s="28" t="n"/>
      <c r="D754" s="28" t="n"/>
      <c r="E754" s="29" t="n"/>
      <c r="F754" s="29" t="n"/>
      <c r="G754" s="28" t="n"/>
      <c r="H754" s="28" t="n"/>
      <c r="I754" s="28" t="n"/>
      <c r="J754" s="28" t="n"/>
      <c r="K754" s="24">
        <f>IF(D754="","",IFERROR(INDEX(Setup!$B$24:$B$59,MATCH(D754,Setup!$A$24:$A$59,0)),"Check category"))</f>
        <v/>
      </c>
      <c r="L754" s="25">
        <f>IF(A754="","",DATE(YEAR(A754),MONTH(A754),1))</f>
        <v/>
      </c>
      <c r="M754" s="26">
        <f>IF(AND(E754="",F754=""),"",N(E754)-N(F754))</f>
        <v/>
      </c>
      <c r="N754" s="28" t="n"/>
    </row>
    <row r="755">
      <c r="A755" s="27" t="n"/>
      <c r="B755" s="28" t="n"/>
      <c r="C755" s="28" t="n"/>
      <c r="D755" s="28" t="n"/>
      <c r="E755" s="29" t="n"/>
      <c r="F755" s="29" t="n"/>
      <c r="G755" s="28" t="n"/>
      <c r="H755" s="28" t="n"/>
      <c r="I755" s="28" t="n"/>
      <c r="J755" s="28" t="n"/>
      <c r="K755" s="24">
        <f>IF(D755="","",IFERROR(INDEX(Setup!$B$24:$B$59,MATCH(D755,Setup!$A$24:$A$59,0)),"Check category"))</f>
        <v/>
      </c>
      <c r="L755" s="25">
        <f>IF(A755="","",DATE(YEAR(A755),MONTH(A755),1))</f>
        <v/>
      </c>
      <c r="M755" s="26">
        <f>IF(AND(E755="",F755=""),"",N(E755)-N(F755))</f>
        <v/>
      </c>
      <c r="N755" s="28" t="n"/>
    </row>
    <row r="756">
      <c r="A756" s="27" t="n"/>
      <c r="B756" s="28" t="n"/>
      <c r="C756" s="28" t="n"/>
      <c r="D756" s="28" t="n"/>
      <c r="E756" s="29" t="n"/>
      <c r="F756" s="29" t="n"/>
      <c r="G756" s="28" t="n"/>
      <c r="H756" s="28" t="n"/>
      <c r="I756" s="28" t="n"/>
      <c r="J756" s="28" t="n"/>
      <c r="K756" s="24">
        <f>IF(D756="","",IFERROR(INDEX(Setup!$B$24:$B$59,MATCH(D756,Setup!$A$24:$A$59,0)),"Check category"))</f>
        <v/>
      </c>
      <c r="L756" s="25">
        <f>IF(A756="","",DATE(YEAR(A756),MONTH(A756),1))</f>
        <v/>
      </c>
      <c r="M756" s="26">
        <f>IF(AND(E756="",F756=""),"",N(E756)-N(F756))</f>
        <v/>
      </c>
      <c r="N756" s="28" t="n"/>
    </row>
    <row r="757">
      <c r="A757" s="27" t="n"/>
      <c r="B757" s="28" t="n"/>
      <c r="C757" s="28" t="n"/>
      <c r="D757" s="28" t="n"/>
      <c r="E757" s="29" t="n"/>
      <c r="F757" s="29" t="n"/>
      <c r="G757" s="28" t="n"/>
      <c r="H757" s="28" t="n"/>
      <c r="I757" s="28" t="n"/>
      <c r="J757" s="28" t="n"/>
      <c r="K757" s="24">
        <f>IF(D757="","",IFERROR(INDEX(Setup!$B$24:$B$59,MATCH(D757,Setup!$A$24:$A$59,0)),"Check category"))</f>
        <v/>
      </c>
      <c r="L757" s="25">
        <f>IF(A757="","",DATE(YEAR(A757),MONTH(A757),1))</f>
        <v/>
      </c>
      <c r="M757" s="26">
        <f>IF(AND(E757="",F757=""),"",N(E757)-N(F757))</f>
        <v/>
      </c>
      <c r="N757" s="28" t="n"/>
    </row>
    <row r="758">
      <c r="A758" s="27" t="n"/>
      <c r="B758" s="28" t="n"/>
      <c r="C758" s="28" t="n"/>
      <c r="D758" s="28" t="n"/>
      <c r="E758" s="29" t="n"/>
      <c r="F758" s="29" t="n"/>
      <c r="G758" s="28" t="n"/>
      <c r="H758" s="28" t="n"/>
      <c r="I758" s="28" t="n"/>
      <c r="J758" s="28" t="n"/>
      <c r="K758" s="24">
        <f>IF(D758="","",IFERROR(INDEX(Setup!$B$24:$B$59,MATCH(D758,Setup!$A$24:$A$59,0)),"Check category"))</f>
        <v/>
      </c>
      <c r="L758" s="25">
        <f>IF(A758="","",DATE(YEAR(A758),MONTH(A758),1))</f>
        <v/>
      </c>
      <c r="M758" s="26">
        <f>IF(AND(E758="",F758=""),"",N(E758)-N(F758))</f>
        <v/>
      </c>
      <c r="N758" s="28" t="n"/>
    </row>
    <row r="759">
      <c r="A759" s="27" t="n"/>
      <c r="B759" s="28" t="n"/>
      <c r="C759" s="28" t="n"/>
      <c r="D759" s="28" t="n"/>
      <c r="E759" s="29" t="n"/>
      <c r="F759" s="29" t="n"/>
      <c r="G759" s="28" t="n"/>
      <c r="H759" s="28" t="n"/>
      <c r="I759" s="28" t="n"/>
      <c r="J759" s="28" t="n"/>
      <c r="K759" s="24">
        <f>IF(D759="","",IFERROR(INDEX(Setup!$B$24:$B$59,MATCH(D759,Setup!$A$24:$A$59,0)),"Check category"))</f>
        <v/>
      </c>
      <c r="L759" s="25">
        <f>IF(A759="","",DATE(YEAR(A759),MONTH(A759),1))</f>
        <v/>
      </c>
      <c r="M759" s="26">
        <f>IF(AND(E759="",F759=""),"",N(E759)-N(F759))</f>
        <v/>
      </c>
      <c r="N759" s="28" t="n"/>
    </row>
    <row r="760">
      <c r="A760" s="27" t="n"/>
      <c r="B760" s="28" t="n"/>
      <c r="C760" s="28" t="n"/>
      <c r="D760" s="28" t="n"/>
      <c r="E760" s="29" t="n"/>
      <c r="F760" s="29" t="n"/>
      <c r="G760" s="28" t="n"/>
      <c r="H760" s="28" t="n"/>
      <c r="I760" s="28" t="n"/>
      <c r="J760" s="28" t="n"/>
      <c r="K760" s="24">
        <f>IF(D760="","",IFERROR(INDEX(Setup!$B$24:$B$59,MATCH(D760,Setup!$A$24:$A$59,0)),"Check category"))</f>
        <v/>
      </c>
      <c r="L760" s="25">
        <f>IF(A760="","",DATE(YEAR(A760),MONTH(A760),1))</f>
        <v/>
      </c>
      <c r="M760" s="26">
        <f>IF(AND(E760="",F760=""),"",N(E760)-N(F760))</f>
        <v/>
      </c>
      <c r="N760" s="28" t="n"/>
    </row>
    <row r="761">
      <c r="A761" s="27" t="n"/>
      <c r="B761" s="28" t="n"/>
      <c r="C761" s="28" t="n"/>
      <c r="D761" s="28" t="n"/>
      <c r="E761" s="29" t="n"/>
      <c r="F761" s="29" t="n"/>
      <c r="G761" s="28" t="n"/>
      <c r="H761" s="28" t="n"/>
      <c r="I761" s="28" t="n"/>
      <c r="J761" s="28" t="n"/>
      <c r="K761" s="24">
        <f>IF(D761="","",IFERROR(INDEX(Setup!$B$24:$B$59,MATCH(D761,Setup!$A$24:$A$59,0)),"Check category"))</f>
        <v/>
      </c>
      <c r="L761" s="25">
        <f>IF(A761="","",DATE(YEAR(A761),MONTH(A761),1))</f>
        <v/>
      </c>
      <c r="M761" s="26">
        <f>IF(AND(E761="",F761=""),"",N(E761)-N(F761))</f>
        <v/>
      </c>
      <c r="N761" s="28" t="n"/>
    </row>
    <row r="762">
      <c r="A762" s="27" t="n"/>
      <c r="B762" s="28" t="n"/>
      <c r="C762" s="28" t="n"/>
      <c r="D762" s="28" t="n"/>
      <c r="E762" s="29" t="n"/>
      <c r="F762" s="29" t="n"/>
      <c r="G762" s="28" t="n"/>
      <c r="H762" s="28" t="n"/>
      <c r="I762" s="28" t="n"/>
      <c r="J762" s="28" t="n"/>
      <c r="K762" s="24">
        <f>IF(D762="","",IFERROR(INDEX(Setup!$B$24:$B$59,MATCH(D762,Setup!$A$24:$A$59,0)),"Check category"))</f>
        <v/>
      </c>
      <c r="L762" s="25">
        <f>IF(A762="","",DATE(YEAR(A762),MONTH(A762),1))</f>
        <v/>
      </c>
      <c r="M762" s="26">
        <f>IF(AND(E762="",F762=""),"",N(E762)-N(F762))</f>
        <v/>
      </c>
      <c r="N762" s="28" t="n"/>
    </row>
    <row r="763">
      <c r="A763" s="27" t="n"/>
      <c r="B763" s="28" t="n"/>
      <c r="C763" s="28" t="n"/>
      <c r="D763" s="28" t="n"/>
      <c r="E763" s="29" t="n"/>
      <c r="F763" s="29" t="n"/>
      <c r="G763" s="28" t="n"/>
      <c r="H763" s="28" t="n"/>
      <c r="I763" s="28" t="n"/>
      <c r="J763" s="28" t="n"/>
      <c r="K763" s="24">
        <f>IF(D763="","",IFERROR(INDEX(Setup!$B$24:$B$59,MATCH(D763,Setup!$A$24:$A$59,0)),"Check category"))</f>
        <v/>
      </c>
      <c r="L763" s="25">
        <f>IF(A763="","",DATE(YEAR(A763),MONTH(A763),1))</f>
        <v/>
      </c>
      <c r="M763" s="26">
        <f>IF(AND(E763="",F763=""),"",N(E763)-N(F763))</f>
        <v/>
      </c>
      <c r="N763" s="28" t="n"/>
    </row>
    <row r="764">
      <c r="A764" s="27" t="n"/>
      <c r="B764" s="28" t="n"/>
      <c r="C764" s="28" t="n"/>
      <c r="D764" s="28" t="n"/>
      <c r="E764" s="29" t="n"/>
      <c r="F764" s="29" t="n"/>
      <c r="G764" s="28" t="n"/>
      <c r="H764" s="28" t="n"/>
      <c r="I764" s="28" t="n"/>
      <c r="J764" s="28" t="n"/>
      <c r="K764" s="24">
        <f>IF(D764="","",IFERROR(INDEX(Setup!$B$24:$B$59,MATCH(D764,Setup!$A$24:$A$59,0)),"Check category"))</f>
        <v/>
      </c>
      <c r="L764" s="25">
        <f>IF(A764="","",DATE(YEAR(A764),MONTH(A764),1))</f>
        <v/>
      </c>
      <c r="M764" s="26">
        <f>IF(AND(E764="",F764=""),"",N(E764)-N(F764))</f>
        <v/>
      </c>
      <c r="N764" s="28" t="n"/>
    </row>
    <row r="765">
      <c r="A765" s="27" t="n"/>
      <c r="B765" s="28" t="n"/>
      <c r="C765" s="28" t="n"/>
      <c r="D765" s="28" t="n"/>
      <c r="E765" s="29" t="n"/>
      <c r="F765" s="29" t="n"/>
      <c r="G765" s="28" t="n"/>
      <c r="H765" s="28" t="n"/>
      <c r="I765" s="28" t="n"/>
      <c r="J765" s="28" t="n"/>
      <c r="K765" s="24">
        <f>IF(D765="","",IFERROR(INDEX(Setup!$B$24:$B$59,MATCH(D765,Setup!$A$24:$A$59,0)),"Check category"))</f>
        <v/>
      </c>
      <c r="L765" s="25">
        <f>IF(A765="","",DATE(YEAR(A765),MONTH(A765),1))</f>
        <v/>
      </c>
      <c r="M765" s="26">
        <f>IF(AND(E765="",F765=""),"",N(E765)-N(F765))</f>
        <v/>
      </c>
      <c r="N765" s="28" t="n"/>
    </row>
    <row r="766">
      <c r="A766" s="27" t="n"/>
      <c r="B766" s="28" t="n"/>
      <c r="C766" s="28" t="n"/>
      <c r="D766" s="28" t="n"/>
      <c r="E766" s="29" t="n"/>
      <c r="F766" s="29" t="n"/>
      <c r="G766" s="28" t="n"/>
      <c r="H766" s="28" t="n"/>
      <c r="I766" s="28" t="n"/>
      <c r="J766" s="28" t="n"/>
      <c r="K766" s="24">
        <f>IF(D766="","",IFERROR(INDEX(Setup!$B$24:$B$59,MATCH(D766,Setup!$A$24:$A$59,0)),"Check category"))</f>
        <v/>
      </c>
      <c r="L766" s="25">
        <f>IF(A766="","",DATE(YEAR(A766),MONTH(A766),1))</f>
        <v/>
      </c>
      <c r="M766" s="26">
        <f>IF(AND(E766="",F766=""),"",N(E766)-N(F766))</f>
        <v/>
      </c>
      <c r="N766" s="28" t="n"/>
    </row>
    <row r="767">
      <c r="A767" s="27" t="n"/>
      <c r="B767" s="28" t="n"/>
      <c r="C767" s="28" t="n"/>
      <c r="D767" s="28" t="n"/>
      <c r="E767" s="29" t="n"/>
      <c r="F767" s="29" t="n"/>
      <c r="G767" s="28" t="n"/>
      <c r="H767" s="28" t="n"/>
      <c r="I767" s="28" t="n"/>
      <c r="J767" s="28" t="n"/>
      <c r="K767" s="24">
        <f>IF(D767="","",IFERROR(INDEX(Setup!$B$24:$B$59,MATCH(D767,Setup!$A$24:$A$59,0)),"Check category"))</f>
        <v/>
      </c>
      <c r="L767" s="25">
        <f>IF(A767="","",DATE(YEAR(A767),MONTH(A767),1))</f>
        <v/>
      </c>
      <c r="M767" s="26">
        <f>IF(AND(E767="",F767=""),"",N(E767)-N(F767))</f>
        <v/>
      </c>
      <c r="N767" s="28" t="n"/>
    </row>
    <row r="768">
      <c r="A768" s="27" t="n"/>
      <c r="B768" s="28" t="n"/>
      <c r="C768" s="28" t="n"/>
      <c r="D768" s="28" t="n"/>
      <c r="E768" s="29" t="n"/>
      <c r="F768" s="29" t="n"/>
      <c r="G768" s="28" t="n"/>
      <c r="H768" s="28" t="n"/>
      <c r="I768" s="28" t="n"/>
      <c r="J768" s="28" t="n"/>
      <c r="K768" s="24">
        <f>IF(D768="","",IFERROR(INDEX(Setup!$B$24:$B$59,MATCH(D768,Setup!$A$24:$A$59,0)),"Check category"))</f>
        <v/>
      </c>
      <c r="L768" s="25">
        <f>IF(A768="","",DATE(YEAR(A768),MONTH(A768),1))</f>
        <v/>
      </c>
      <c r="M768" s="26">
        <f>IF(AND(E768="",F768=""),"",N(E768)-N(F768))</f>
        <v/>
      </c>
      <c r="N768" s="28" t="n"/>
    </row>
    <row r="769">
      <c r="A769" s="27" t="n"/>
      <c r="B769" s="28" t="n"/>
      <c r="C769" s="28" t="n"/>
      <c r="D769" s="28" t="n"/>
      <c r="E769" s="29" t="n"/>
      <c r="F769" s="29" t="n"/>
      <c r="G769" s="28" t="n"/>
      <c r="H769" s="28" t="n"/>
      <c r="I769" s="28" t="n"/>
      <c r="J769" s="28" t="n"/>
      <c r="K769" s="24">
        <f>IF(D769="","",IFERROR(INDEX(Setup!$B$24:$B$59,MATCH(D769,Setup!$A$24:$A$59,0)),"Check category"))</f>
        <v/>
      </c>
      <c r="L769" s="25">
        <f>IF(A769="","",DATE(YEAR(A769),MONTH(A769),1))</f>
        <v/>
      </c>
      <c r="M769" s="26">
        <f>IF(AND(E769="",F769=""),"",N(E769)-N(F769))</f>
        <v/>
      </c>
      <c r="N769" s="28" t="n"/>
    </row>
    <row r="770">
      <c r="A770" s="27" t="n"/>
      <c r="B770" s="28" t="n"/>
      <c r="C770" s="28" t="n"/>
      <c r="D770" s="28" t="n"/>
      <c r="E770" s="29" t="n"/>
      <c r="F770" s="29" t="n"/>
      <c r="G770" s="28" t="n"/>
      <c r="H770" s="28" t="n"/>
      <c r="I770" s="28" t="n"/>
      <c r="J770" s="28" t="n"/>
      <c r="K770" s="24">
        <f>IF(D770="","",IFERROR(INDEX(Setup!$B$24:$B$59,MATCH(D770,Setup!$A$24:$A$59,0)),"Check category"))</f>
        <v/>
      </c>
      <c r="L770" s="25">
        <f>IF(A770="","",DATE(YEAR(A770),MONTH(A770),1))</f>
        <v/>
      </c>
      <c r="M770" s="26">
        <f>IF(AND(E770="",F770=""),"",N(E770)-N(F770))</f>
        <v/>
      </c>
      <c r="N770" s="28" t="n"/>
    </row>
    <row r="771">
      <c r="A771" s="27" t="n"/>
      <c r="B771" s="28" t="n"/>
      <c r="C771" s="28" t="n"/>
      <c r="D771" s="28" t="n"/>
      <c r="E771" s="29" t="n"/>
      <c r="F771" s="29" t="n"/>
      <c r="G771" s="28" t="n"/>
      <c r="H771" s="28" t="n"/>
      <c r="I771" s="28" t="n"/>
      <c r="J771" s="28" t="n"/>
      <c r="K771" s="24">
        <f>IF(D771="","",IFERROR(INDEX(Setup!$B$24:$B$59,MATCH(D771,Setup!$A$24:$A$59,0)),"Check category"))</f>
        <v/>
      </c>
      <c r="L771" s="25">
        <f>IF(A771="","",DATE(YEAR(A771),MONTH(A771),1))</f>
        <v/>
      </c>
      <c r="M771" s="26">
        <f>IF(AND(E771="",F771=""),"",N(E771)-N(F771))</f>
        <v/>
      </c>
      <c r="N771" s="28" t="n"/>
    </row>
    <row r="772">
      <c r="A772" s="27" t="n"/>
      <c r="B772" s="28" t="n"/>
      <c r="C772" s="28" t="n"/>
      <c r="D772" s="28" t="n"/>
      <c r="E772" s="29" t="n"/>
      <c r="F772" s="29" t="n"/>
      <c r="G772" s="28" t="n"/>
      <c r="H772" s="28" t="n"/>
      <c r="I772" s="28" t="n"/>
      <c r="J772" s="28" t="n"/>
      <c r="K772" s="24">
        <f>IF(D772="","",IFERROR(INDEX(Setup!$B$24:$B$59,MATCH(D772,Setup!$A$24:$A$59,0)),"Check category"))</f>
        <v/>
      </c>
      <c r="L772" s="25">
        <f>IF(A772="","",DATE(YEAR(A772),MONTH(A772),1))</f>
        <v/>
      </c>
      <c r="M772" s="26">
        <f>IF(AND(E772="",F772=""),"",N(E772)-N(F772))</f>
        <v/>
      </c>
      <c r="N772" s="28" t="n"/>
    </row>
    <row r="773">
      <c r="A773" s="27" t="n"/>
      <c r="B773" s="28" t="n"/>
      <c r="C773" s="28" t="n"/>
      <c r="D773" s="28" t="n"/>
      <c r="E773" s="29" t="n"/>
      <c r="F773" s="29" t="n"/>
      <c r="G773" s="28" t="n"/>
      <c r="H773" s="28" t="n"/>
      <c r="I773" s="28" t="n"/>
      <c r="J773" s="28" t="n"/>
      <c r="K773" s="24">
        <f>IF(D773="","",IFERROR(INDEX(Setup!$B$24:$B$59,MATCH(D773,Setup!$A$24:$A$59,0)),"Check category"))</f>
        <v/>
      </c>
      <c r="L773" s="25">
        <f>IF(A773="","",DATE(YEAR(A773),MONTH(A773),1))</f>
        <v/>
      </c>
      <c r="M773" s="26">
        <f>IF(AND(E773="",F773=""),"",N(E773)-N(F773))</f>
        <v/>
      </c>
      <c r="N773" s="28" t="n"/>
    </row>
    <row r="774">
      <c r="A774" s="27" t="n"/>
      <c r="B774" s="28" t="n"/>
      <c r="C774" s="28" t="n"/>
      <c r="D774" s="28" t="n"/>
      <c r="E774" s="29" t="n"/>
      <c r="F774" s="29" t="n"/>
      <c r="G774" s="28" t="n"/>
      <c r="H774" s="28" t="n"/>
      <c r="I774" s="28" t="n"/>
      <c r="J774" s="28" t="n"/>
      <c r="K774" s="24">
        <f>IF(D774="","",IFERROR(INDEX(Setup!$B$24:$B$59,MATCH(D774,Setup!$A$24:$A$59,0)),"Check category"))</f>
        <v/>
      </c>
      <c r="L774" s="25">
        <f>IF(A774="","",DATE(YEAR(A774),MONTH(A774),1))</f>
        <v/>
      </c>
      <c r="M774" s="26">
        <f>IF(AND(E774="",F774=""),"",N(E774)-N(F774))</f>
        <v/>
      </c>
      <c r="N774" s="28" t="n"/>
    </row>
    <row r="775">
      <c r="A775" s="27" t="n"/>
      <c r="B775" s="28" t="n"/>
      <c r="C775" s="28" t="n"/>
      <c r="D775" s="28" t="n"/>
      <c r="E775" s="29" t="n"/>
      <c r="F775" s="29" t="n"/>
      <c r="G775" s="28" t="n"/>
      <c r="H775" s="28" t="n"/>
      <c r="I775" s="28" t="n"/>
      <c r="J775" s="28" t="n"/>
      <c r="K775" s="24">
        <f>IF(D775="","",IFERROR(INDEX(Setup!$B$24:$B$59,MATCH(D775,Setup!$A$24:$A$59,0)),"Check category"))</f>
        <v/>
      </c>
      <c r="L775" s="25">
        <f>IF(A775="","",DATE(YEAR(A775),MONTH(A775),1))</f>
        <v/>
      </c>
      <c r="M775" s="26">
        <f>IF(AND(E775="",F775=""),"",N(E775)-N(F775))</f>
        <v/>
      </c>
      <c r="N775" s="28" t="n"/>
    </row>
    <row r="776">
      <c r="A776" s="27" t="n"/>
      <c r="B776" s="28" t="n"/>
      <c r="C776" s="28" t="n"/>
      <c r="D776" s="28" t="n"/>
      <c r="E776" s="29" t="n"/>
      <c r="F776" s="29" t="n"/>
      <c r="G776" s="28" t="n"/>
      <c r="H776" s="28" t="n"/>
      <c r="I776" s="28" t="n"/>
      <c r="J776" s="28" t="n"/>
      <c r="K776" s="24">
        <f>IF(D776="","",IFERROR(INDEX(Setup!$B$24:$B$59,MATCH(D776,Setup!$A$24:$A$59,0)),"Check category"))</f>
        <v/>
      </c>
      <c r="L776" s="25">
        <f>IF(A776="","",DATE(YEAR(A776),MONTH(A776),1))</f>
        <v/>
      </c>
      <c r="M776" s="26">
        <f>IF(AND(E776="",F776=""),"",N(E776)-N(F776))</f>
        <v/>
      </c>
      <c r="N776" s="28" t="n"/>
    </row>
    <row r="777">
      <c r="A777" s="27" t="n"/>
      <c r="B777" s="28" t="n"/>
      <c r="C777" s="28" t="n"/>
      <c r="D777" s="28" t="n"/>
      <c r="E777" s="29" t="n"/>
      <c r="F777" s="29" t="n"/>
      <c r="G777" s="28" t="n"/>
      <c r="H777" s="28" t="n"/>
      <c r="I777" s="28" t="n"/>
      <c r="J777" s="28" t="n"/>
      <c r="K777" s="24">
        <f>IF(D777="","",IFERROR(INDEX(Setup!$B$24:$B$59,MATCH(D777,Setup!$A$24:$A$59,0)),"Check category"))</f>
        <v/>
      </c>
      <c r="L777" s="25">
        <f>IF(A777="","",DATE(YEAR(A777),MONTH(A777),1))</f>
        <v/>
      </c>
      <c r="M777" s="26">
        <f>IF(AND(E777="",F777=""),"",N(E777)-N(F777))</f>
        <v/>
      </c>
      <c r="N777" s="28" t="n"/>
    </row>
    <row r="778">
      <c r="A778" s="27" t="n"/>
      <c r="B778" s="28" t="n"/>
      <c r="C778" s="28" t="n"/>
      <c r="D778" s="28" t="n"/>
      <c r="E778" s="29" t="n"/>
      <c r="F778" s="29" t="n"/>
      <c r="G778" s="28" t="n"/>
      <c r="H778" s="28" t="n"/>
      <c r="I778" s="28" t="n"/>
      <c r="J778" s="28" t="n"/>
      <c r="K778" s="24">
        <f>IF(D778="","",IFERROR(INDEX(Setup!$B$24:$B$59,MATCH(D778,Setup!$A$24:$A$59,0)),"Check category"))</f>
        <v/>
      </c>
      <c r="L778" s="25">
        <f>IF(A778="","",DATE(YEAR(A778),MONTH(A778),1))</f>
        <v/>
      </c>
      <c r="M778" s="26">
        <f>IF(AND(E778="",F778=""),"",N(E778)-N(F778))</f>
        <v/>
      </c>
      <c r="N778" s="28" t="n"/>
    </row>
    <row r="779">
      <c r="A779" s="27" t="n"/>
      <c r="B779" s="28" t="n"/>
      <c r="C779" s="28" t="n"/>
      <c r="D779" s="28" t="n"/>
      <c r="E779" s="29" t="n"/>
      <c r="F779" s="29" t="n"/>
      <c r="G779" s="28" t="n"/>
      <c r="H779" s="28" t="n"/>
      <c r="I779" s="28" t="n"/>
      <c r="J779" s="28" t="n"/>
      <c r="K779" s="24">
        <f>IF(D779="","",IFERROR(INDEX(Setup!$B$24:$B$59,MATCH(D779,Setup!$A$24:$A$59,0)),"Check category"))</f>
        <v/>
      </c>
      <c r="L779" s="25">
        <f>IF(A779="","",DATE(YEAR(A779),MONTH(A779),1))</f>
        <v/>
      </c>
      <c r="M779" s="26">
        <f>IF(AND(E779="",F779=""),"",N(E779)-N(F779))</f>
        <v/>
      </c>
      <c r="N779" s="28" t="n"/>
    </row>
    <row r="780">
      <c r="A780" s="27" t="n"/>
      <c r="B780" s="28" t="n"/>
      <c r="C780" s="28" t="n"/>
      <c r="D780" s="28" t="n"/>
      <c r="E780" s="29" t="n"/>
      <c r="F780" s="29" t="n"/>
      <c r="G780" s="28" t="n"/>
      <c r="H780" s="28" t="n"/>
      <c r="I780" s="28" t="n"/>
      <c r="J780" s="28" t="n"/>
      <c r="K780" s="24">
        <f>IF(D780="","",IFERROR(INDEX(Setup!$B$24:$B$59,MATCH(D780,Setup!$A$24:$A$59,0)),"Check category"))</f>
        <v/>
      </c>
      <c r="L780" s="25">
        <f>IF(A780="","",DATE(YEAR(A780),MONTH(A780),1))</f>
        <v/>
      </c>
      <c r="M780" s="26">
        <f>IF(AND(E780="",F780=""),"",N(E780)-N(F780))</f>
        <v/>
      </c>
      <c r="N780" s="28" t="n"/>
    </row>
    <row r="781">
      <c r="A781" s="27" t="n"/>
      <c r="B781" s="28" t="n"/>
      <c r="C781" s="28" t="n"/>
      <c r="D781" s="28" t="n"/>
      <c r="E781" s="29" t="n"/>
      <c r="F781" s="29" t="n"/>
      <c r="G781" s="28" t="n"/>
      <c r="H781" s="28" t="n"/>
      <c r="I781" s="28" t="n"/>
      <c r="J781" s="28" t="n"/>
      <c r="K781" s="24">
        <f>IF(D781="","",IFERROR(INDEX(Setup!$B$24:$B$59,MATCH(D781,Setup!$A$24:$A$59,0)),"Check category"))</f>
        <v/>
      </c>
      <c r="L781" s="25">
        <f>IF(A781="","",DATE(YEAR(A781),MONTH(A781),1))</f>
        <v/>
      </c>
      <c r="M781" s="26">
        <f>IF(AND(E781="",F781=""),"",N(E781)-N(F781))</f>
        <v/>
      </c>
      <c r="N781" s="28" t="n"/>
    </row>
    <row r="782">
      <c r="A782" s="27" t="n"/>
      <c r="B782" s="28" t="n"/>
      <c r="C782" s="28" t="n"/>
      <c r="D782" s="28" t="n"/>
      <c r="E782" s="29" t="n"/>
      <c r="F782" s="29" t="n"/>
      <c r="G782" s="28" t="n"/>
      <c r="H782" s="28" t="n"/>
      <c r="I782" s="28" t="n"/>
      <c r="J782" s="28" t="n"/>
      <c r="K782" s="24">
        <f>IF(D782="","",IFERROR(INDEX(Setup!$B$24:$B$59,MATCH(D782,Setup!$A$24:$A$59,0)),"Check category"))</f>
        <v/>
      </c>
      <c r="L782" s="25">
        <f>IF(A782="","",DATE(YEAR(A782),MONTH(A782),1))</f>
        <v/>
      </c>
      <c r="M782" s="26">
        <f>IF(AND(E782="",F782=""),"",N(E782)-N(F782))</f>
        <v/>
      </c>
      <c r="N782" s="28" t="n"/>
    </row>
    <row r="783">
      <c r="A783" s="27" t="n"/>
      <c r="B783" s="28" t="n"/>
      <c r="C783" s="28" t="n"/>
      <c r="D783" s="28" t="n"/>
      <c r="E783" s="29" t="n"/>
      <c r="F783" s="29" t="n"/>
      <c r="G783" s="28" t="n"/>
      <c r="H783" s="28" t="n"/>
      <c r="I783" s="28" t="n"/>
      <c r="J783" s="28" t="n"/>
      <c r="K783" s="24">
        <f>IF(D783="","",IFERROR(INDEX(Setup!$B$24:$B$59,MATCH(D783,Setup!$A$24:$A$59,0)),"Check category"))</f>
        <v/>
      </c>
      <c r="L783" s="25">
        <f>IF(A783="","",DATE(YEAR(A783),MONTH(A783),1))</f>
        <v/>
      </c>
      <c r="M783" s="26">
        <f>IF(AND(E783="",F783=""),"",N(E783)-N(F783))</f>
        <v/>
      </c>
      <c r="N783" s="28" t="n"/>
    </row>
    <row r="784">
      <c r="A784" s="27" t="n"/>
      <c r="B784" s="28" t="n"/>
      <c r="C784" s="28" t="n"/>
      <c r="D784" s="28" t="n"/>
      <c r="E784" s="29" t="n"/>
      <c r="F784" s="29" t="n"/>
      <c r="G784" s="28" t="n"/>
      <c r="H784" s="28" t="n"/>
      <c r="I784" s="28" t="n"/>
      <c r="J784" s="28" t="n"/>
      <c r="K784" s="24">
        <f>IF(D784="","",IFERROR(INDEX(Setup!$B$24:$B$59,MATCH(D784,Setup!$A$24:$A$59,0)),"Check category"))</f>
        <v/>
      </c>
      <c r="L784" s="25">
        <f>IF(A784="","",DATE(YEAR(A784),MONTH(A784),1))</f>
        <v/>
      </c>
      <c r="M784" s="26">
        <f>IF(AND(E784="",F784=""),"",N(E784)-N(F784))</f>
        <v/>
      </c>
      <c r="N784" s="28" t="n"/>
    </row>
    <row r="785">
      <c r="A785" s="27" t="n"/>
      <c r="B785" s="28" t="n"/>
      <c r="C785" s="28" t="n"/>
      <c r="D785" s="28" t="n"/>
      <c r="E785" s="29" t="n"/>
      <c r="F785" s="29" t="n"/>
      <c r="G785" s="28" t="n"/>
      <c r="H785" s="28" t="n"/>
      <c r="I785" s="28" t="n"/>
      <c r="J785" s="28" t="n"/>
      <c r="K785" s="24">
        <f>IF(D785="","",IFERROR(INDEX(Setup!$B$24:$B$59,MATCH(D785,Setup!$A$24:$A$59,0)),"Check category"))</f>
        <v/>
      </c>
      <c r="L785" s="25">
        <f>IF(A785="","",DATE(YEAR(A785),MONTH(A785),1))</f>
        <v/>
      </c>
      <c r="M785" s="26">
        <f>IF(AND(E785="",F785=""),"",N(E785)-N(F785))</f>
        <v/>
      </c>
      <c r="N785" s="28" t="n"/>
    </row>
    <row r="786">
      <c r="A786" s="27" t="n"/>
      <c r="B786" s="28" t="n"/>
      <c r="C786" s="28" t="n"/>
      <c r="D786" s="28" t="n"/>
      <c r="E786" s="29" t="n"/>
      <c r="F786" s="29" t="n"/>
      <c r="G786" s="28" t="n"/>
      <c r="H786" s="28" t="n"/>
      <c r="I786" s="28" t="n"/>
      <c r="J786" s="28" t="n"/>
      <c r="K786" s="24">
        <f>IF(D786="","",IFERROR(INDEX(Setup!$B$24:$B$59,MATCH(D786,Setup!$A$24:$A$59,0)),"Check category"))</f>
        <v/>
      </c>
      <c r="L786" s="25">
        <f>IF(A786="","",DATE(YEAR(A786),MONTH(A786),1))</f>
        <v/>
      </c>
      <c r="M786" s="26">
        <f>IF(AND(E786="",F786=""),"",N(E786)-N(F786))</f>
        <v/>
      </c>
      <c r="N786" s="28" t="n"/>
    </row>
    <row r="787">
      <c r="A787" s="27" t="n"/>
      <c r="B787" s="28" t="n"/>
      <c r="C787" s="28" t="n"/>
      <c r="D787" s="28" t="n"/>
      <c r="E787" s="29" t="n"/>
      <c r="F787" s="29" t="n"/>
      <c r="G787" s="28" t="n"/>
      <c r="H787" s="28" t="n"/>
      <c r="I787" s="28" t="n"/>
      <c r="J787" s="28" t="n"/>
      <c r="K787" s="24">
        <f>IF(D787="","",IFERROR(INDEX(Setup!$B$24:$B$59,MATCH(D787,Setup!$A$24:$A$59,0)),"Check category"))</f>
        <v/>
      </c>
      <c r="L787" s="25">
        <f>IF(A787="","",DATE(YEAR(A787),MONTH(A787),1))</f>
        <v/>
      </c>
      <c r="M787" s="26">
        <f>IF(AND(E787="",F787=""),"",N(E787)-N(F787))</f>
        <v/>
      </c>
      <c r="N787" s="28" t="n"/>
    </row>
    <row r="788">
      <c r="A788" s="27" t="n"/>
      <c r="B788" s="28" t="n"/>
      <c r="C788" s="28" t="n"/>
      <c r="D788" s="28" t="n"/>
      <c r="E788" s="29" t="n"/>
      <c r="F788" s="29" t="n"/>
      <c r="G788" s="28" t="n"/>
      <c r="H788" s="28" t="n"/>
      <c r="I788" s="28" t="n"/>
      <c r="J788" s="28" t="n"/>
      <c r="K788" s="24">
        <f>IF(D788="","",IFERROR(INDEX(Setup!$B$24:$B$59,MATCH(D788,Setup!$A$24:$A$59,0)),"Check category"))</f>
        <v/>
      </c>
      <c r="L788" s="25">
        <f>IF(A788="","",DATE(YEAR(A788),MONTH(A788),1))</f>
        <v/>
      </c>
      <c r="M788" s="26">
        <f>IF(AND(E788="",F788=""),"",N(E788)-N(F788))</f>
        <v/>
      </c>
      <c r="N788" s="28" t="n"/>
    </row>
    <row r="789">
      <c r="A789" s="27" t="n"/>
      <c r="B789" s="28" t="n"/>
      <c r="C789" s="28" t="n"/>
      <c r="D789" s="28" t="n"/>
      <c r="E789" s="29" t="n"/>
      <c r="F789" s="29" t="n"/>
      <c r="G789" s="28" t="n"/>
      <c r="H789" s="28" t="n"/>
      <c r="I789" s="28" t="n"/>
      <c r="J789" s="28" t="n"/>
      <c r="K789" s="24">
        <f>IF(D789="","",IFERROR(INDEX(Setup!$B$24:$B$59,MATCH(D789,Setup!$A$24:$A$59,0)),"Check category"))</f>
        <v/>
      </c>
      <c r="L789" s="25">
        <f>IF(A789="","",DATE(YEAR(A789),MONTH(A789),1))</f>
        <v/>
      </c>
      <c r="M789" s="26">
        <f>IF(AND(E789="",F789=""),"",N(E789)-N(F789))</f>
        <v/>
      </c>
      <c r="N789" s="28" t="n"/>
    </row>
    <row r="790">
      <c r="A790" s="27" t="n"/>
      <c r="B790" s="28" t="n"/>
      <c r="C790" s="28" t="n"/>
      <c r="D790" s="28" t="n"/>
      <c r="E790" s="29" t="n"/>
      <c r="F790" s="29" t="n"/>
      <c r="G790" s="28" t="n"/>
      <c r="H790" s="28" t="n"/>
      <c r="I790" s="28" t="n"/>
      <c r="J790" s="28" t="n"/>
      <c r="K790" s="24">
        <f>IF(D790="","",IFERROR(INDEX(Setup!$B$24:$B$59,MATCH(D790,Setup!$A$24:$A$59,0)),"Check category"))</f>
        <v/>
      </c>
      <c r="L790" s="25">
        <f>IF(A790="","",DATE(YEAR(A790),MONTH(A790),1))</f>
        <v/>
      </c>
      <c r="M790" s="26">
        <f>IF(AND(E790="",F790=""),"",N(E790)-N(F790))</f>
        <v/>
      </c>
      <c r="N790" s="28" t="n"/>
    </row>
    <row r="791">
      <c r="A791" s="27" t="n"/>
      <c r="B791" s="28" t="n"/>
      <c r="C791" s="28" t="n"/>
      <c r="D791" s="28" t="n"/>
      <c r="E791" s="29" t="n"/>
      <c r="F791" s="29" t="n"/>
      <c r="G791" s="28" t="n"/>
      <c r="H791" s="28" t="n"/>
      <c r="I791" s="28" t="n"/>
      <c r="J791" s="28" t="n"/>
      <c r="K791" s="24">
        <f>IF(D791="","",IFERROR(INDEX(Setup!$B$24:$B$59,MATCH(D791,Setup!$A$24:$A$59,0)),"Check category"))</f>
        <v/>
      </c>
      <c r="L791" s="25">
        <f>IF(A791="","",DATE(YEAR(A791),MONTH(A791),1))</f>
        <v/>
      </c>
      <c r="M791" s="26">
        <f>IF(AND(E791="",F791=""),"",N(E791)-N(F791))</f>
        <v/>
      </c>
      <c r="N791" s="28" t="n"/>
    </row>
    <row r="792">
      <c r="A792" s="27" t="n"/>
      <c r="B792" s="28" t="n"/>
      <c r="C792" s="28" t="n"/>
      <c r="D792" s="28" t="n"/>
      <c r="E792" s="29" t="n"/>
      <c r="F792" s="29" t="n"/>
      <c r="G792" s="28" t="n"/>
      <c r="H792" s="28" t="n"/>
      <c r="I792" s="28" t="n"/>
      <c r="J792" s="28" t="n"/>
      <c r="K792" s="24">
        <f>IF(D792="","",IFERROR(INDEX(Setup!$B$24:$B$59,MATCH(D792,Setup!$A$24:$A$59,0)),"Check category"))</f>
        <v/>
      </c>
      <c r="L792" s="25">
        <f>IF(A792="","",DATE(YEAR(A792),MONTH(A792),1))</f>
        <v/>
      </c>
      <c r="M792" s="26">
        <f>IF(AND(E792="",F792=""),"",N(E792)-N(F792))</f>
        <v/>
      </c>
      <c r="N792" s="28" t="n"/>
    </row>
    <row r="793">
      <c r="A793" s="27" t="n"/>
      <c r="B793" s="28" t="n"/>
      <c r="C793" s="28" t="n"/>
      <c r="D793" s="28" t="n"/>
      <c r="E793" s="29" t="n"/>
      <c r="F793" s="29" t="n"/>
      <c r="G793" s="28" t="n"/>
      <c r="H793" s="28" t="n"/>
      <c r="I793" s="28" t="n"/>
      <c r="J793" s="28" t="n"/>
      <c r="K793" s="24">
        <f>IF(D793="","",IFERROR(INDEX(Setup!$B$24:$B$59,MATCH(D793,Setup!$A$24:$A$59,0)),"Check category"))</f>
        <v/>
      </c>
      <c r="L793" s="25">
        <f>IF(A793="","",DATE(YEAR(A793),MONTH(A793),1))</f>
        <v/>
      </c>
      <c r="M793" s="26">
        <f>IF(AND(E793="",F793=""),"",N(E793)-N(F793))</f>
        <v/>
      </c>
      <c r="N793" s="28" t="n"/>
    </row>
    <row r="794">
      <c r="A794" s="27" t="n"/>
      <c r="B794" s="28" t="n"/>
      <c r="C794" s="28" t="n"/>
      <c r="D794" s="28" t="n"/>
      <c r="E794" s="29" t="n"/>
      <c r="F794" s="29" t="n"/>
      <c r="G794" s="28" t="n"/>
      <c r="H794" s="28" t="n"/>
      <c r="I794" s="28" t="n"/>
      <c r="J794" s="28" t="n"/>
      <c r="K794" s="24">
        <f>IF(D794="","",IFERROR(INDEX(Setup!$B$24:$B$59,MATCH(D794,Setup!$A$24:$A$59,0)),"Check category"))</f>
        <v/>
      </c>
      <c r="L794" s="25">
        <f>IF(A794="","",DATE(YEAR(A794),MONTH(A794),1))</f>
        <v/>
      </c>
      <c r="M794" s="26">
        <f>IF(AND(E794="",F794=""),"",N(E794)-N(F794))</f>
        <v/>
      </c>
      <c r="N794" s="28" t="n"/>
    </row>
    <row r="795">
      <c r="A795" s="27" t="n"/>
      <c r="B795" s="28" t="n"/>
      <c r="C795" s="28" t="n"/>
      <c r="D795" s="28" t="n"/>
      <c r="E795" s="29" t="n"/>
      <c r="F795" s="29" t="n"/>
      <c r="G795" s="28" t="n"/>
      <c r="H795" s="28" t="n"/>
      <c r="I795" s="28" t="n"/>
      <c r="J795" s="28" t="n"/>
      <c r="K795" s="24">
        <f>IF(D795="","",IFERROR(INDEX(Setup!$B$24:$B$59,MATCH(D795,Setup!$A$24:$A$59,0)),"Check category"))</f>
        <v/>
      </c>
      <c r="L795" s="25">
        <f>IF(A795="","",DATE(YEAR(A795),MONTH(A795),1))</f>
        <v/>
      </c>
      <c r="M795" s="26">
        <f>IF(AND(E795="",F795=""),"",N(E795)-N(F795))</f>
        <v/>
      </c>
      <c r="N795" s="28" t="n"/>
    </row>
    <row r="796">
      <c r="A796" s="27" t="n"/>
      <c r="B796" s="28" t="n"/>
      <c r="C796" s="28" t="n"/>
      <c r="D796" s="28" t="n"/>
      <c r="E796" s="29" t="n"/>
      <c r="F796" s="29" t="n"/>
      <c r="G796" s="28" t="n"/>
      <c r="H796" s="28" t="n"/>
      <c r="I796" s="28" t="n"/>
      <c r="J796" s="28" t="n"/>
      <c r="K796" s="24">
        <f>IF(D796="","",IFERROR(INDEX(Setup!$B$24:$B$59,MATCH(D796,Setup!$A$24:$A$59,0)),"Check category"))</f>
        <v/>
      </c>
      <c r="L796" s="25">
        <f>IF(A796="","",DATE(YEAR(A796),MONTH(A796),1))</f>
        <v/>
      </c>
      <c r="M796" s="26">
        <f>IF(AND(E796="",F796=""),"",N(E796)-N(F796))</f>
        <v/>
      </c>
      <c r="N796" s="28" t="n"/>
    </row>
    <row r="797">
      <c r="A797" s="27" t="n"/>
      <c r="B797" s="28" t="n"/>
      <c r="C797" s="28" t="n"/>
      <c r="D797" s="28" t="n"/>
      <c r="E797" s="29" t="n"/>
      <c r="F797" s="29" t="n"/>
      <c r="G797" s="28" t="n"/>
      <c r="H797" s="28" t="n"/>
      <c r="I797" s="28" t="n"/>
      <c r="J797" s="28" t="n"/>
      <c r="K797" s="24">
        <f>IF(D797="","",IFERROR(INDEX(Setup!$B$24:$B$59,MATCH(D797,Setup!$A$24:$A$59,0)),"Check category"))</f>
        <v/>
      </c>
      <c r="L797" s="25">
        <f>IF(A797="","",DATE(YEAR(A797),MONTH(A797),1))</f>
        <v/>
      </c>
      <c r="M797" s="26">
        <f>IF(AND(E797="",F797=""),"",N(E797)-N(F797))</f>
        <v/>
      </c>
      <c r="N797" s="28" t="n"/>
    </row>
    <row r="798">
      <c r="A798" s="27" t="n"/>
      <c r="B798" s="28" t="n"/>
      <c r="C798" s="28" t="n"/>
      <c r="D798" s="28" t="n"/>
      <c r="E798" s="29" t="n"/>
      <c r="F798" s="29" t="n"/>
      <c r="G798" s="28" t="n"/>
      <c r="H798" s="28" t="n"/>
      <c r="I798" s="28" t="n"/>
      <c r="J798" s="28" t="n"/>
      <c r="K798" s="24">
        <f>IF(D798="","",IFERROR(INDEX(Setup!$B$24:$B$59,MATCH(D798,Setup!$A$24:$A$59,0)),"Check category"))</f>
        <v/>
      </c>
      <c r="L798" s="25">
        <f>IF(A798="","",DATE(YEAR(A798),MONTH(A798),1))</f>
        <v/>
      </c>
      <c r="M798" s="26">
        <f>IF(AND(E798="",F798=""),"",N(E798)-N(F798))</f>
        <v/>
      </c>
      <c r="N798" s="28" t="n"/>
    </row>
    <row r="799">
      <c r="A799" s="27" t="n"/>
      <c r="B799" s="28" t="n"/>
      <c r="C799" s="28" t="n"/>
      <c r="D799" s="28" t="n"/>
      <c r="E799" s="29" t="n"/>
      <c r="F799" s="29" t="n"/>
      <c r="G799" s="28" t="n"/>
      <c r="H799" s="28" t="n"/>
      <c r="I799" s="28" t="n"/>
      <c r="J799" s="28" t="n"/>
      <c r="K799" s="24">
        <f>IF(D799="","",IFERROR(INDEX(Setup!$B$24:$B$59,MATCH(D799,Setup!$A$24:$A$59,0)),"Check category"))</f>
        <v/>
      </c>
      <c r="L799" s="25">
        <f>IF(A799="","",DATE(YEAR(A799),MONTH(A799),1))</f>
        <v/>
      </c>
      <c r="M799" s="26">
        <f>IF(AND(E799="",F799=""),"",N(E799)-N(F799))</f>
        <v/>
      </c>
      <c r="N799" s="28" t="n"/>
    </row>
    <row r="800">
      <c r="A800" s="27" t="n"/>
      <c r="B800" s="28" t="n"/>
      <c r="C800" s="28" t="n"/>
      <c r="D800" s="28" t="n"/>
      <c r="E800" s="29" t="n"/>
      <c r="F800" s="29" t="n"/>
      <c r="G800" s="28" t="n"/>
      <c r="H800" s="28" t="n"/>
      <c r="I800" s="28" t="n"/>
      <c r="J800" s="28" t="n"/>
      <c r="K800" s="24">
        <f>IF(D800="","",IFERROR(INDEX(Setup!$B$24:$B$59,MATCH(D800,Setup!$A$24:$A$59,0)),"Check category"))</f>
        <v/>
      </c>
      <c r="L800" s="25">
        <f>IF(A800="","",DATE(YEAR(A800),MONTH(A800),1))</f>
        <v/>
      </c>
      <c r="M800" s="26">
        <f>IF(AND(E800="",F800=""),"",N(E800)-N(F800))</f>
        <v/>
      </c>
      <c r="N800" s="28" t="n"/>
    </row>
    <row r="801">
      <c r="A801" s="27" t="n"/>
      <c r="B801" s="28" t="n"/>
      <c r="C801" s="28" t="n"/>
      <c r="D801" s="28" t="n"/>
      <c r="E801" s="29" t="n"/>
      <c r="F801" s="29" t="n"/>
      <c r="G801" s="28" t="n"/>
      <c r="H801" s="28" t="n"/>
      <c r="I801" s="28" t="n"/>
      <c r="J801" s="28" t="n"/>
      <c r="K801" s="24">
        <f>IF(D801="","",IFERROR(INDEX(Setup!$B$24:$B$59,MATCH(D801,Setup!$A$24:$A$59,0)),"Check category"))</f>
        <v/>
      </c>
      <c r="L801" s="25">
        <f>IF(A801="","",DATE(YEAR(A801),MONTH(A801),1))</f>
        <v/>
      </c>
      <c r="M801" s="26">
        <f>IF(AND(E801="",F801=""),"",N(E801)-N(F801))</f>
        <v/>
      </c>
      <c r="N801" s="28" t="n"/>
    </row>
    <row r="802">
      <c r="A802" s="27" t="n"/>
      <c r="B802" s="28" t="n"/>
      <c r="C802" s="28" t="n"/>
      <c r="D802" s="28" t="n"/>
      <c r="E802" s="29" t="n"/>
      <c r="F802" s="29" t="n"/>
      <c r="G802" s="28" t="n"/>
      <c r="H802" s="28" t="n"/>
      <c r="I802" s="28" t="n"/>
      <c r="J802" s="28" t="n"/>
      <c r="K802" s="24">
        <f>IF(D802="","",IFERROR(INDEX(Setup!$B$24:$B$59,MATCH(D802,Setup!$A$24:$A$59,0)),"Check category"))</f>
        <v/>
      </c>
      <c r="L802" s="25">
        <f>IF(A802="","",DATE(YEAR(A802),MONTH(A802),1))</f>
        <v/>
      </c>
      <c r="M802" s="26">
        <f>IF(AND(E802="",F802=""),"",N(E802)-N(F802))</f>
        <v/>
      </c>
      <c r="N802" s="28" t="n"/>
    </row>
    <row r="803">
      <c r="A803" s="27" t="n"/>
      <c r="B803" s="28" t="n"/>
      <c r="C803" s="28" t="n"/>
      <c r="D803" s="28" t="n"/>
      <c r="E803" s="29" t="n"/>
      <c r="F803" s="29" t="n"/>
      <c r="G803" s="28" t="n"/>
      <c r="H803" s="28" t="n"/>
      <c r="I803" s="28" t="n"/>
      <c r="J803" s="28" t="n"/>
      <c r="K803" s="24">
        <f>IF(D803="","",IFERROR(INDEX(Setup!$B$24:$B$59,MATCH(D803,Setup!$A$24:$A$59,0)),"Check category"))</f>
        <v/>
      </c>
      <c r="L803" s="25">
        <f>IF(A803="","",DATE(YEAR(A803),MONTH(A803),1))</f>
        <v/>
      </c>
      <c r="M803" s="26">
        <f>IF(AND(E803="",F803=""),"",N(E803)-N(F803))</f>
        <v/>
      </c>
      <c r="N803" s="28" t="n"/>
    </row>
    <row r="804">
      <c r="A804" s="27" t="n"/>
      <c r="B804" s="28" t="n"/>
      <c r="C804" s="28" t="n"/>
      <c r="D804" s="28" t="n"/>
      <c r="E804" s="29" t="n"/>
      <c r="F804" s="29" t="n"/>
      <c r="G804" s="28" t="n"/>
      <c r="H804" s="28" t="n"/>
      <c r="I804" s="28" t="n"/>
      <c r="J804" s="28" t="n"/>
      <c r="K804" s="24">
        <f>IF(D804="","",IFERROR(INDEX(Setup!$B$24:$B$59,MATCH(D804,Setup!$A$24:$A$59,0)),"Check category"))</f>
        <v/>
      </c>
      <c r="L804" s="25">
        <f>IF(A804="","",DATE(YEAR(A804),MONTH(A804),1))</f>
        <v/>
      </c>
      <c r="M804" s="26">
        <f>IF(AND(E804="",F804=""),"",N(E804)-N(F804))</f>
        <v/>
      </c>
      <c r="N804" s="28" t="n"/>
    </row>
    <row r="805">
      <c r="A805" s="27" t="n"/>
      <c r="B805" s="28" t="n"/>
      <c r="C805" s="28" t="n"/>
      <c r="D805" s="28" t="n"/>
      <c r="E805" s="29" t="n"/>
      <c r="F805" s="29" t="n"/>
      <c r="G805" s="28" t="n"/>
      <c r="H805" s="28" t="n"/>
      <c r="I805" s="28" t="n"/>
      <c r="J805" s="28" t="n"/>
      <c r="K805" s="24">
        <f>IF(D805="","",IFERROR(INDEX(Setup!$B$24:$B$59,MATCH(D805,Setup!$A$24:$A$59,0)),"Check category"))</f>
        <v/>
      </c>
      <c r="L805" s="25">
        <f>IF(A805="","",DATE(YEAR(A805),MONTH(A805),1))</f>
        <v/>
      </c>
      <c r="M805" s="26">
        <f>IF(AND(E805="",F805=""),"",N(E805)-N(F805))</f>
        <v/>
      </c>
      <c r="N805" s="28" t="n"/>
    </row>
    <row r="806">
      <c r="A806" s="27" t="n"/>
      <c r="B806" s="28" t="n"/>
      <c r="C806" s="28" t="n"/>
      <c r="D806" s="28" t="n"/>
      <c r="E806" s="29" t="n"/>
      <c r="F806" s="29" t="n"/>
      <c r="G806" s="28" t="n"/>
      <c r="H806" s="28" t="n"/>
      <c r="I806" s="28" t="n"/>
      <c r="J806" s="28" t="n"/>
      <c r="K806" s="24">
        <f>IF(D806="","",IFERROR(INDEX(Setup!$B$24:$B$59,MATCH(D806,Setup!$A$24:$A$59,0)),"Check category"))</f>
        <v/>
      </c>
      <c r="L806" s="25">
        <f>IF(A806="","",DATE(YEAR(A806),MONTH(A806),1))</f>
        <v/>
      </c>
      <c r="M806" s="26">
        <f>IF(AND(E806="",F806=""),"",N(E806)-N(F806))</f>
        <v/>
      </c>
      <c r="N806" s="28" t="n"/>
    </row>
    <row r="807">
      <c r="A807" s="27" t="n"/>
      <c r="B807" s="28" t="n"/>
      <c r="C807" s="28" t="n"/>
      <c r="D807" s="28" t="n"/>
      <c r="E807" s="29" t="n"/>
      <c r="F807" s="29" t="n"/>
      <c r="G807" s="28" t="n"/>
      <c r="H807" s="28" t="n"/>
      <c r="I807" s="28" t="n"/>
      <c r="J807" s="28" t="n"/>
      <c r="K807" s="24">
        <f>IF(D807="","",IFERROR(INDEX(Setup!$B$24:$B$59,MATCH(D807,Setup!$A$24:$A$59,0)),"Check category"))</f>
        <v/>
      </c>
      <c r="L807" s="25">
        <f>IF(A807="","",DATE(YEAR(A807),MONTH(A807),1))</f>
        <v/>
      </c>
      <c r="M807" s="26">
        <f>IF(AND(E807="",F807=""),"",N(E807)-N(F807))</f>
        <v/>
      </c>
      <c r="N807" s="28" t="n"/>
    </row>
    <row r="808">
      <c r="A808" s="27" t="n"/>
      <c r="B808" s="28" t="n"/>
      <c r="C808" s="28" t="n"/>
      <c r="D808" s="28" t="n"/>
      <c r="E808" s="29" t="n"/>
      <c r="F808" s="29" t="n"/>
      <c r="G808" s="28" t="n"/>
      <c r="H808" s="28" t="n"/>
      <c r="I808" s="28" t="n"/>
      <c r="J808" s="28" t="n"/>
      <c r="K808" s="24">
        <f>IF(D808="","",IFERROR(INDEX(Setup!$B$24:$B$59,MATCH(D808,Setup!$A$24:$A$59,0)),"Check category"))</f>
        <v/>
      </c>
      <c r="L808" s="25">
        <f>IF(A808="","",DATE(YEAR(A808),MONTH(A808),1))</f>
        <v/>
      </c>
      <c r="M808" s="26">
        <f>IF(AND(E808="",F808=""),"",N(E808)-N(F808))</f>
        <v/>
      </c>
      <c r="N808" s="28" t="n"/>
    </row>
    <row r="809">
      <c r="A809" s="27" t="n"/>
      <c r="B809" s="28" t="n"/>
      <c r="C809" s="28" t="n"/>
      <c r="D809" s="28" t="n"/>
      <c r="E809" s="29" t="n"/>
      <c r="F809" s="29" t="n"/>
      <c r="G809" s="28" t="n"/>
      <c r="H809" s="28" t="n"/>
      <c r="I809" s="28" t="n"/>
      <c r="J809" s="28" t="n"/>
      <c r="K809" s="24">
        <f>IF(D809="","",IFERROR(INDEX(Setup!$B$24:$B$59,MATCH(D809,Setup!$A$24:$A$59,0)),"Check category"))</f>
        <v/>
      </c>
      <c r="L809" s="25">
        <f>IF(A809="","",DATE(YEAR(A809),MONTH(A809),1))</f>
        <v/>
      </c>
      <c r="M809" s="26">
        <f>IF(AND(E809="",F809=""),"",N(E809)-N(F809))</f>
        <v/>
      </c>
      <c r="N809" s="28" t="n"/>
    </row>
    <row r="810">
      <c r="A810" s="27" t="n"/>
      <c r="B810" s="28" t="n"/>
      <c r="C810" s="28" t="n"/>
      <c r="D810" s="28" t="n"/>
      <c r="E810" s="29" t="n"/>
      <c r="F810" s="29" t="n"/>
      <c r="G810" s="28" t="n"/>
      <c r="H810" s="28" t="n"/>
      <c r="I810" s="28" t="n"/>
      <c r="J810" s="28" t="n"/>
      <c r="K810" s="24">
        <f>IF(D810="","",IFERROR(INDEX(Setup!$B$24:$B$59,MATCH(D810,Setup!$A$24:$A$59,0)),"Check category"))</f>
        <v/>
      </c>
      <c r="L810" s="25">
        <f>IF(A810="","",DATE(YEAR(A810),MONTH(A810),1))</f>
        <v/>
      </c>
      <c r="M810" s="26">
        <f>IF(AND(E810="",F810=""),"",N(E810)-N(F810))</f>
        <v/>
      </c>
      <c r="N810" s="28" t="n"/>
    </row>
    <row r="811">
      <c r="A811" s="27" t="n"/>
      <c r="B811" s="28" t="n"/>
      <c r="C811" s="28" t="n"/>
      <c r="D811" s="28" t="n"/>
      <c r="E811" s="29" t="n"/>
      <c r="F811" s="29" t="n"/>
      <c r="G811" s="28" t="n"/>
      <c r="H811" s="28" t="n"/>
      <c r="I811" s="28" t="n"/>
      <c r="J811" s="28" t="n"/>
      <c r="K811" s="24">
        <f>IF(D811="","",IFERROR(INDEX(Setup!$B$24:$B$59,MATCH(D811,Setup!$A$24:$A$59,0)),"Check category"))</f>
        <v/>
      </c>
      <c r="L811" s="25">
        <f>IF(A811="","",DATE(YEAR(A811),MONTH(A811),1))</f>
        <v/>
      </c>
      <c r="M811" s="26">
        <f>IF(AND(E811="",F811=""),"",N(E811)-N(F811))</f>
        <v/>
      </c>
      <c r="N811" s="28" t="n"/>
    </row>
    <row r="812">
      <c r="A812" s="27" t="n"/>
      <c r="B812" s="28" t="n"/>
      <c r="C812" s="28" t="n"/>
      <c r="D812" s="28" t="n"/>
      <c r="E812" s="29" t="n"/>
      <c r="F812" s="29" t="n"/>
      <c r="G812" s="28" t="n"/>
      <c r="H812" s="28" t="n"/>
      <c r="I812" s="28" t="n"/>
      <c r="J812" s="28" t="n"/>
      <c r="K812" s="24">
        <f>IF(D812="","",IFERROR(INDEX(Setup!$B$24:$B$59,MATCH(D812,Setup!$A$24:$A$59,0)),"Check category"))</f>
        <v/>
      </c>
      <c r="L812" s="25">
        <f>IF(A812="","",DATE(YEAR(A812),MONTH(A812),1))</f>
        <v/>
      </c>
      <c r="M812" s="26">
        <f>IF(AND(E812="",F812=""),"",N(E812)-N(F812))</f>
        <v/>
      </c>
      <c r="N812" s="28" t="n"/>
    </row>
    <row r="813">
      <c r="A813" s="27" t="n"/>
      <c r="B813" s="28" t="n"/>
      <c r="C813" s="28" t="n"/>
      <c r="D813" s="28" t="n"/>
      <c r="E813" s="29" t="n"/>
      <c r="F813" s="29" t="n"/>
      <c r="G813" s="28" t="n"/>
      <c r="H813" s="28" t="n"/>
      <c r="I813" s="28" t="n"/>
      <c r="J813" s="28" t="n"/>
      <c r="K813" s="24">
        <f>IF(D813="","",IFERROR(INDEX(Setup!$B$24:$B$59,MATCH(D813,Setup!$A$24:$A$59,0)),"Check category"))</f>
        <v/>
      </c>
      <c r="L813" s="25">
        <f>IF(A813="","",DATE(YEAR(A813),MONTH(A813),1))</f>
        <v/>
      </c>
      <c r="M813" s="26">
        <f>IF(AND(E813="",F813=""),"",N(E813)-N(F813))</f>
        <v/>
      </c>
      <c r="N813" s="28" t="n"/>
    </row>
    <row r="814">
      <c r="A814" s="27" t="n"/>
      <c r="B814" s="28" t="n"/>
      <c r="C814" s="28" t="n"/>
      <c r="D814" s="28" t="n"/>
      <c r="E814" s="29" t="n"/>
      <c r="F814" s="29" t="n"/>
      <c r="G814" s="28" t="n"/>
      <c r="H814" s="28" t="n"/>
      <c r="I814" s="28" t="n"/>
      <c r="J814" s="28" t="n"/>
      <c r="K814" s="24">
        <f>IF(D814="","",IFERROR(INDEX(Setup!$B$24:$B$59,MATCH(D814,Setup!$A$24:$A$59,0)),"Check category"))</f>
        <v/>
      </c>
      <c r="L814" s="25">
        <f>IF(A814="","",DATE(YEAR(A814),MONTH(A814),1))</f>
        <v/>
      </c>
      <c r="M814" s="26">
        <f>IF(AND(E814="",F814=""),"",N(E814)-N(F814))</f>
        <v/>
      </c>
      <c r="N814" s="28" t="n"/>
    </row>
    <row r="815">
      <c r="A815" s="27" t="n"/>
      <c r="B815" s="28" t="n"/>
      <c r="C815" s="28" t="n"/>
      <c r="D815" s="28" t="n"/>
      <c r="E815" s="29" t="n"/>
      <c r="F815" s="29" t="n"/>
      <c r="G815" s="28" t="n"/>
      <c r="H815" s="28" t="n"/>
      <c r="I815" s="28" t="n"/>
      <c r="J815" s="28" t="n"/>
      <c r="K815" s="24">
        <f>IF(D815="","",IFERROR(INDEX(Setup!$B$24:$B$59,MATCH(D815,Setup!$A$24:$A$59,0)),"Check category"))</f>
        <v/>
      </c>
      <c r="L815" s="25">
        <f>IF(A815="","",DATE(YEAR(A815),MONTH(A815),1))</f>
        <v/>
      </c>
      <c r="M815" s="26">
        <f>IF(AND(E815="",F815=""),"",N(E815)-N(F815))</f>
        <v/>
      </c>
      <c r="N815" s="28" t="n"/>
    </row>
    <row r="816">
      <c r="A816" s="27" t="n"/>
      <c r="B816" s="28" t="n"/>
      <c r="C816" s="28" t="n"/>
      <c r="D816" s="28" t="n"/>
      <c r="E816" s="29" t="n"/>
      <c r="F816" s="29" t="n"/>
      <c r="G816" s="28" t="n"/>
      <c r="H816" s="28" t="n"/>
      <c r="I816" s="28" t="n"/>
      <c r="J816" s="28" t="n"/>
      <c r="K816" s="24">
        <f>IF(D816="","",IFERROR(INDEX(Setup!$B$24:$B$59,MATCH(D816,Setup!$A$24:$A$59,0)),"Check category"))</f>
        <v/>
      </c>
      <c r="L816" s="25">
        <f>IF(A816="","",DATE(YEAR(A816),MONTH(A816),1))</f>
        <v/>
      </c>
      <c r="M816" s="26">
        <f>IF(AND(E816="",F816=""),"",N(E816)-N(F816))</f>
        <v/>
      </c>
      <c r="N816" s="28" t="n"/>
    </row>
    <row r="817">
      <c r="A817" s="27" t="n"/>
      <c r="B817" s="28" t="n"/>
      <c r="C817" s="28" t="n"/>
      <c r="D817" s="28" t="n"/>
      <c r="E817" s="29" t="n"/>
      <c r="F817" s="29" t="n"/>
      <c r="G817" s="28" t="n"/>
      <c r="H817" s="28" t="n"/>
      <c r="I817" s="28" t="n"/>
      <c r="J817" s="28" t="n"/>
      <c r="K817" s="24">
        <f>IF(D817="","",IFERROR(INDEX(Setup!$B$24:$B$59,MATCH(D817,Setup!$A$24:$A$59,0)),"Check category"))</f>
        <v/>
      </c>
      <c r="L817" s="25">
        <f>IF(A817="","",DATE(YEAR(A817),MONTH(A817),1))</f>
        <v/>
      </c>
      <c r="M817" s="26">
        <f>IF(AND(E817="",F817=""),"",N(E817)-N(F817))</f>
        <v/>
      </c>
      <c r="N817" s="28" t="n"/>
    </row>
    <row r="818">
      <c r="A818" s="27" t="n"/>
      <c r="B818" s="28" t="n"/>
      <c r="C818" s="28" t="n"/>
      <c r="D818" s="28" t="n"/>
      <c r="E818" s="29" t="n"/>
      <c r="F818" s="29" t="n"/>
      <c r="G818" s="28" t="n"/>
      <c r="H818" s="28" t="n"/>
      <c r="I818" s="28" t="n"/>
      <c r="J818" s="28" t="n"/>
      <c r="K818" s="24">
        <f>IF(D818="","",IFERROR(INDEX(Setup!$B$24:$B$59,MATCH(D818,Setup!$A$24:$A$59,0)),"Check category"))</f>
        <v/>
      </c>
      <c r="L818" s="25">
        <f>IF(A818="","",DATE(YEAR(A818),MONTH(A818),1))</f>
        <v/>
      </c>
      <c r="M818" s="26">
        <f>IF(AND(E818="",F818=""),"",N(E818)-N(F818))</f>
        <v/>
      </c>
      <c r="N818" s="28" t="n"/>
    </row>
    <row r="819">
      <c r="A819" s="27" t="n"/>
      <c r="B819" s="28" t="n"/>
      <c r="C819" s="28" t="n"/>
      <c r="D819" s="28" t="n"/>
      <c r="E819" s="29" t="n"/>
      <c r="F819" s="29" t="n"/>
      <c r="G819" s="28" t="n"/>
      <c r="H819" s="28" t="n"/>
      <c r="I819" s="28" t="n"/>
      <c r="J819" s="28" t="n"/>
      <c r="K819" s="24">
        <f>IF(D819="","",IFERROR(INDEX(Setup!$B$24:$B$59,MATCH(D819,Setup!$A$24:$A$59,0)),"Check category"))</f>
        <v/>
      </c>
      <c r="L819" s="25">
        <f>IF(A819="","",DATE(YEAR(A819),MONTH(A819),1))</f>
        <v/>
      </c>
      <c r="M819" s="26">
        <f>IF(AND(E819="",F819=""),"",N(E819)-N(F819))</f>
        <v/>
      </c>
      <c r="N819" s="28" t="n"/>
    </row>
    <row r="820">
      <c r="A820" s="27" t="n"/>
      <c r="B820" s="28" t="n"/>
      <c r="C820" s="28" t="n"/>
      <c r="D820" s="28" t="n"/>
      <c r="E820" s="29" t="n"/>
      <c r="F820" s="29" t="n"/>
      <c r="G820" s="28" t="n"/>
      <c r="H820" s="28" t="n"/>
      <c r="I820" s="28" t="n"/>
      <c r="J820" s="28" t="n"/>
      <c r="K820" s="24">
        <f>IF(D820="","",IFERROR(INDEX(Setup!$B$24:$B$59,MATCH(D820,Setup!$A$24:$A$59,0)),"Check category"))</f>
        <v/>
      </c>
      <c r="L820" s="25">
        <f>IF(A820="","",DATE(YEAR(A820),MONTH(A820),1))</f>
        <v/>
      </c>
      <c r="M820" s="26">
        <f>IF(AND(E820="",F820=""),"",N(E820)-N(F820))</f>
        <v/>
      </c>
      <c r="N820" s="28" t="n"/>
    </row>
    <row r="821">
      <c r="A821" s="27" t="n"/>
      <c r="B821" s="28" t="n"/>
      <c r="C821" s="28" t="n"/>
      <c r="D821" s="28" t="n"/>
      <c r="E821" s="29" t="n"/>
      <c r="F821" s="29" t="n"/>
      <c r="G821" s="28" t="n"/>
      <c r="H821" s="28" t="n"/>
      <c r="I821" s="28" t="n"/>
      <c r="J821" s="28" t="n"/>
      <c r="K821" s="24">
        <f>IF(D821="","",IFERROR(INDEX(Setup!$B$24:$B$59,MATCH(D821,Setup!$A$24:$A$59,0)),"Check category"))</f>
        <v/>
      </c>
      <c r="L821" s="25">
        <f>IF(A821="","",DATE(YEAR(A821),MONTH(A821),1))</f>
        <v/>
      </c>
      <c r="M821" s="26">
        <f>IF(AND(E821="",F821=""),"",N(E821)-N(F821))</f>
        <v/>
      </c>
      <c r="N821" s="28" t="n"/>
    </row>
    <row r="822">
      <c r="A822" s="27" t="n"/>
      <c r="B822" s="28" t="n"/>
      <c r="C822" s="28" t="n"/>
      <c r="D822" s="28" t="n"/>
      <c r="E822" s="29" t="n"/>
      <c r="F822" s="29" t="n"/>
      <c r="G822" s="28" t="n"/>
      <c r="H822" s="28" t="n"/>
      <c r="I822" s="28" t="n"/>
      <c r="J822" s="28" t="n"/>
      <c r="K822" s="24">
        <f>IF(D822="","",IFERROR(INDEX(Setup!$B$24:$B$59,MATCH(D822,Setup!$A$24:$A$59,0)),"Check category"))</f>
        <v/>
      </c>
      <c r="L822" s="25">
        <f>IF(A822="","",DATE(YEAR(A822),MONTH(A822),1))</f>
        <v/>
      </c>
      <c r="M822" s="26">
        <f>IF(AND(E822="",F822=""),"",N(E822)-N(F822))</f>
        <v/>
      </c>
      <c r="N822" s="28" t="n"/>
    </row>
    <row r="823">
      <c r="A823" s="27" t="n"/>
      <c r="B823" s="28" t="n"/>
      <c r="C823" s="28" t="n"/>
      <c r="D823" s="28" t="n"/>
      <c r="E823" s="29" t="n"/>
      <c r="F823" s="29" t="n"/>
      <c r="G823" s="28" t="n"/>
      <c r="H823" s="28" t="n"/>
      <c r="I823" s="28" t="n"/>
      <c r="J823" s="28" t="n"/>
      <c r="K823" s="24">
        <f>IF(D823="","",IFERROR(INDEX(Setup!$B$24:$B$59,MATCH(D823,Setup!$A$24:$A$59,0)),"Check category"))</f>
        <v/>
      </c>
      <c r="L823" s="25">
        <f>IF(A823="","",DATE(YEAR(A823),MONTH(A823),1))</f>
        <v/>
      </c>
      <c r="M823" s="26">
        <f>IF(AND(E823="",F823=""),"",N(E823)-N(F823))</f>
        <v/>
      </c>
      <c r="N823" s="28" t="n"/>
    </row>
    <row r="824">
      <c r="A824" s="27" t="n"/>
      <c r="B824" s="28" t="n"/>
      <c r="C824" s="28" t="n"/>
      <c r="D824" s="28" t="n"/>
      <c r="E824" s="29" t="n"/>
      <c r="F824" s="29" t="n"/>
      <c r="G824" s="28" t="n"/>
      <c r="H824" s="28" t="n"/>
      <c r="I824" s="28" t="n"/>
      <c r="J824" s="28" t="n"/>
      <c r="K824" s="24">
        <f>IF(D824="","",IFERROR(INDEX(Setup!$B$24:$B$59,MATCH(D824,Setup!$A$24:$A$59,0)),"Check category"))</f>
        <v/>
      </c>
      <c r="L824" s="25">
        <f>IF(A824="","",DATE(YEAR(A824),MONTH(A824),1))</f>
        <v/>
      </c>
      <c r="M824" s="26">
        <f>IF(AND(E824="",F824=""),"",N(E824)-N(F824))</f>
        <v/>
      </c>
      <c r="N824" s="28" t="n"/>
    </row>
    <row r="825">
      <c r="A825" s="27" t="n"/>
      <c r="B825" s="28" t="n"/>
      <c r="C825" s="28" t="n"/>
      <c r="D825" s="28" t="n"/>
      <c r="E825" s="29" t="n"/>
      <c r="F825" s="29" t="n"/>
      <c r="G825" s="28" t="n"/>
      <c r="H825" s="28" t="n"/>
      <c r="I825" s="28" t="n"/>
      <c r="J825" s="28" t="n"/>
      <c r="K825" s="24">
        <f>IF(D825="","",IFERROR(INDEX(Setup!$B$24:$B$59,MATCH(D825,Setup!$A$24:$A$59,0)),"Check category"))</f>
        <v/>
      </c>
      <c r="L825" s="25">
        <f>IF(A825="","",DATE(YEAR(A825),MONTH(A825),1))</f>
        <v/>
      </c>
      <c r="M825" s="26">
        <f>IF(AND(E825="",F825=""),"",N(E825)-N(F825))</f>
        <v/>
      </c>
      <c r="N825" s="28" t="n"/>
    </row>
    <row r="826">
      <c r="A826" s="27" t="n"/>
      <c r="B826" s="28" t="n"/>
      <c r="C826" s="28" t="n"/>
      <c r="D826" s="28" t="n"/>
      <c r="E826" s="29" t="n"/>
      <c r="F826" s="29" t="n"/>
      <c r="G826" s="28" t="n"/>
      <c r="H826" s="28" t="n"/>
      <c r="I826" s="28" t="n"/>
      <c r="J826" s="28" t="n"/>
      <c r="K826" s="24">
        <f>IF(D826="","",IFERROR(INDEX(Setup!$B$24:$B$59,MATCH(D826,Setup!$A$24:$A$59,0)),"Check category"))</f>
        <v/>
      </c>
      <c r="L826" s="25">
        <f>IF(A826="","",DATE(YEAR(A826),MONTH(A826),1))</f>
        <v/>
      </c>
      <c r="M826" s="26">
        <f>IF(AND(E826="",F826=""),"",N(E826)-N(F826))</f>
        <v/>
      </c>
      <c r="N826" s="28" t="n"/>
    </row>
    <row r="827">
      <c r="A827" s="27" t="n"/>
      <c r="B827" s="28" t="n"/>
      <c r="C827" s="28" t="n"/>
      <c r="D827" s="28" t="n"/>
      <c r="E827" s="29" t="n"/>
      <c r="F827" s="29" t="n"/>
      <c r="G827" s="28" t="n"/>
      <c r="H827" s="28" t="n"/>
      <c r="I827" s="28" t="n"/>
      <c r="J827" s="28" t="n"/>
      <c r="K827" s="24">
        <f>IF(D827="","",IFERROR(INDEX(Setup!$B$24:$B$59,MATCH(D827,Setup!$A$24:$A$59,0)),"Check category"))</f>
        <v/>
      </c>
      <c r="L827" s="25">
        <f>IF(A827="","",DATE(YEAR(A827),MONTH(A827),1))</f>
        <v/>
      </c>
      <c r="M827" s="26">
        <f>IF(AND(E827="",F827=""),"",N(E827)-N(F827))</f>
        <v/>
      </c>
      <c r="N827" s="28" t="n"/>
    </row>
    <row r="828">
      <c r="A828" s="27" t="n"/>
      <c r="B828" s="28" t="n"/>
      <c r="C828" s="28" t="n"/>
      <c r="D828" s="28" t="n"/>
      <c r="E828" s="29" t="n"/>
      <c r="F828" s="29" t="n"/>
      <c r="G828" s="28" t="n"/>
      <c r="H828" s="28" t="n"/>
      <c r="I828" s="28" t="n"/>
      <c r="J828" s="28" t="n"/>
      <c r="K828" s="24">
        <f>IF(D828="","",IFERROR(INDEX(Setup!$B$24:$B$59,MATCH(D828,Setup!$A$24:$A$59,0)),"Check category"))</f>
        <v/>
      </c>
      <c r="L828" s="25">
        <f>IF(A828="","",DATE(YEAR(A828),MONTH(A828),1))</f>
        <v/>
      </c>
      <c r="M828" s="26">
        <f>IF(AND(E828="",F828=""),"",N(E828)-N(F828))</f>
        <v/>
      </c>
      <c r="N828" s="28" t="n"/>
    </row>
    <row r="829">
      <c r="A829" s="27" t="n"/>
      <c r="B829" s="28" t="n"/>
      <c r="C829" s="28" t="n"/>
      <c r="D829" s="28" t="n"/>
      <c r="E829" s="29" t="n"/>
      <c r="F829" s="29" t="n"/>
      <c r="G829" s="28" t="n"/>
      <c r="H829" s="28" t="n"/>
      <c r="I829" s="28" t="n"/>
      <c r="J829" s="28" t="n"/>
      <c r="K829" s="24">
        <f>IF(D829="","",IFERROR(INDEX(Setup!$B$24:$B$59,MATCH(D829,Setup!$A$24:$A$59,0)),"Check category"))</f>
        <v/>
      </c>
      <c r="L829" s="25">
        <f>IF(A829="","",DATE(YEAR(A829),MONTH(A829),1))</f>
        <v/>
      </c>
      <c r="M829" s="26">
        <f>IF(AND(E829="",F829=""),"",N(E829)-N(F829))</f>
        <v/>
      </c>
      <c r="N829" s="28" t="n"/>
    </row>
    <row r="830">
      <c r="A830" s="27" t="n"/>
      <c r="B830" s="28" t="n"/>
      <c r="C830" s="28" t="n"/>
      <c r="D830" s="28" t="n"/>
      <c r="E830" s="29" t="n"/>
      <c r="F830" s="29" t="n"/>
      <c r="G830" s="28" t="n"/>
      <c r="H830" s="28" t="n"/>
      <c r="I830" s="28" t="n"/>
      <c r="J830" s="28" t="n"/>
      <c r="K830" s="24">
        <f>IF(D830="","",IFERROR(INDEX(Setup!$B$24:$B$59,MATCH(D830,Setup!$A$24:$A$59,0)),"Check category"))</f>
        <v/>
      </c>
      <c r="L830" s="25">
        <f>IF(A830="","",DATE(YEAR(A830),MONTH(A830),1))</f>
        <v/>
      </c>
      <c r="M830" s="26">
        <f>IF(AND(E830="",F830=""),"",N(E830)-N(F830))</f>
        <v/>
      </c>
      <c r="N830" s="28" t="n"/>
    </row>
    <row r="831">
      <c r="A831" s="27" t="n"/>
      <c r="B831" s="28" t="n"/>
      <c r="C831" s="28" t="n"/>
      <c r="D831" s="28" t="n"/>
      <c r="E831" s="29" t="n"/>
      <c r="F831" s="29" t="n"/>
      <c r="G831" s="28" t="n"/>
      <c r="H831" s="28" t="n"/>
      <c r="I831" s="28" t="n"/>
      <c r="J831" s="28" t="n"/>
      <c r="K831" s="24">
        <f>IF(D831="","",IFERROR(INDEX(Setup!$B$24:$B$59,MATCH(D831,Setup!$A$24:$A$59,0)),"Check category"))</f>
        <v/>
      </c>
      <c r="L831" s="25">
        <f>IF(A831="","",DATE(YEAR(A831),MONTH(A831),1))</f>
        <v/>
      </c>
      <c r="M831" s="26">
        <f>IF(AND(E831="",F831=""),"",N(E831)-N(F831))</f>
        <v/>
      </c>
      <c r="N831" s="28" t="n"/>
    </row>
    <row r="832">
      <c r="A832" s="27" t="n"/>
      <c r="B832" s="28" t="n"/>
      <c r="C832" s="28" t="n"/>
      <c r="D832" s="28" t="n"/>
      <c r="E832" s="29" t="n"/>
      <c r="F832" s="29" t="n"/>
      <c r="G832" s="28" t="n"/>
      <c r="H832" s="28" t="n"/>
      <c r="I832" s="28" t="n"/>
      <c r="J832" s="28" t="n"/>
      <c r="K832" s="24">
        <f>IF(D832="","",IFERROR(INDEX(Setup!$B$24:$B$59,MATCH(D832,Setup!$A$24:$A$59,0)),"Check category"))</f>
        <v/>
      </c>
      <c r="L832" s="25">
        <f>IF(A832="","",DATE(YEAR(A832),MONTH(A832),1))</f>
        <v/>
      </c>
      <c r="M832" s="26">
        <f>IF(AND(E832="",F832=""),"",N(E832)-N(F832))</f>
        <v/>
      </c>
      <c r="N832" s="28" t="n"/>
    </row>
    <row r="833">
      <c r="A833" s="27" t="n"/>
      <c r="B833" s="28" t="n"/>
      <c r="C833" s="28" t="n"/>
      <c r="D833" s="28" t="n"/>
      <c r="E833" s="29" t="n"/>
      <c r="F833" s="29" t="n"/>
      <c r="G833" s="28" t="n"/>
      <c r="H833" s="28" t="n"/>
      <c r="I833" s="28" t="n"/>
      <c r="J833" s="28" t="n"/>
      <c r="K833" s="24">
        <f>IF(D833="","",IFERROR(INDEX(Setup!$B$24:$B$59,MATCH(D833,Setup!$A$24:$A$59,0)),"Check category"))</f>
        <v/>
      </c>
      <c r="L833" s="25">
        <f>IF(A833="","",DATE(YEAR(A833),MONTH(A833),1))</f>
        <v/>
      </c>
      <c r="M833" s="26">
        <f>IF(AND(E833="",F833=""),"",N(E833)-N(F833))</f>
        <v/>
      </c>
      <c r="N833" s="28" t="n"/>
    </row>
    <row r="834">
      <c r="A834" s="27" t="n"/>
      <c r="B834" s="28" t="n"/>
      <c r="C834" s="28" t="n"/>
      <c r="D834" s="28" t="n"/>
      <c r="E834" s="29" t="n"/>
      <c r="F834" s="29" t="n"/>
      <c r="G834" s="28" t="n"/>
      <c r="H834" s="28" t="n"/>
      <c r="I834" s="28" t="n"/>
      <c r="J834" s="28" t="n"/>
      <c r="K834" s="24">
        <f>IF(D834="","",IFERROR(INDEX(Setup!$B$24:$B$59,MATCH(D834,Setup!$A$24:$A$59,0)),"Check category"))</f>
        <v/>
      </c>
      <c r="L834" s="25">
        <f>IF(A834="","",DATE(YEAR(A834),MONTH(A834),1))</f>
        <v/>
      </c>
      <c r="M834" s="26">
        <f>IF(AND(E834="",F834=""),"",N(E834)-N(F834))</f>
        <v/>
      </c>
      <c r="N834" s="28" t="n"/>
    </row>
    <row r="835">
      <c r="A835" s="27" t="n"/>
      <c r="B835" s="28" t="n"/>
      <c r="C835" s="28" t="n"/>
      <c r="D835" s="28" t="n"/>
      <c r="E835" s="29" t="n"/>
      <c r="F835" s="29" t="n"/>
      <c r="G835" s="28" t="n"/>
      <c r="H835" s="28" t="n"/>
      <c r="I835" s="28" t="n"/>
      <c r="J835" s="28" t="n"/>
      <c r="K835" s="24">
        <f>IF(D835="","",IFERROR(INDEX(Setup!$B$24:$B$59,MATCH(D835,Setup!$A$24:$A$59,0)),"Check category"))</f>
        <v/>
      </c>
      <c r="L835" s="25">
        <f>IF(A835="","",DATE(YEAR(A835),MONTH(A835),1))</f>
        <v/>
      </c>
      <c r="M835" s="26">
        <f>IF(AND(E835="",F835=""),"",N(E835)-N(F835))</f>
        <v/>
      </c>
      <c r="N835" s="28" t="n"/>
    </row>
    <row r="836">
      <c r="A836" s="27" t="n"/>
      <c r="B836" s="28" t="n"/>
      <c r="C836" s="28" t="n"/>
      <c r="D836" s="28" t="n"/>
      <c r="E836" s="29" t="n"/>
      <c r="F836" s="29" t="n"/>
      <c r="G836" s="28" t="n"/>
      <c r="H836" s="28" t="n"/>
      <c r="I836" s="28" t="n"/>
      <c r="J836" s="28" t="n"/>
      <c r="K836" s="24">
        <f>IF(D836="","",IFERROR(INDEX(Setup!$B$24:$B$59,MATCH(D836,Setup!$A$24:$A$59,0)),"Check category"))</f>
        <v/>
      </c>
      <c r="L836" s="25">
        <f>IF(A836="","",DATE(YEAR(A836),MONTH(A836),1))</f>
        <v/>
      </c>
      <c r="M836" s="26">
        <f>IF(AND(E836="",F836=""),"",N(E836)-N(F836))</f>
        <v/>
      </c>
      <c r="N836" s="28" t="n"/>
    </row>
    <row r="837">
      <c r="A837" s="27" t="n"/>
      <c r="B837" s="28" t="n"/>
      <c r="C837" s="28" t="n"/>
      <c r="D837" s="28" t="n"/>
      <c r="E837" s="29" t="n"/>
      <c r="F837" s="29" t="n"/>
      <c r="G837" s="28" t="n"/>
      <c r="H837" s="28" t="n"/>
      <c r="I837" s="28" t="n"/>
      <c r="J837" s="28" t="n"/>
      <c r="K837" s="24">
        <f>IF(D837="","",IFERROR(INDEX(Setup!$B$24:$B$59,MATCH(D837,Setup!$A$24:$A$59,0)),"Check category"))</f>
        <v/>
      </c>
      <c r="L837" s="25">
        <f>IF(A837="","",DATE(YEAR(A837),MONTH(A837),1))</f>
        <v/>
      </c>
      <c r="M837" s="26">
        <f>IF(AND(E837="",F837=""),"",N(E837)-N(F837))</f>
        <v/>
      </c>
      <c r="N837" s="28" t="n"/>
    </row>
    <row r="838">
      <c r="A838" s="27" t="n"/>
      <c r="B838" s="28" t="n"/>
      <c r="C838" s="28" t="n"/>
      <c r="D838" s="28" t="n"/>
      <c r="E838" s="29" t="n"/>
      <c r="F838" s="29" t="n"/>
      <c r="G838" s="28" t="n"/>
      <c r="H838" s="28" t="n"/>
      <c r="I838" s="28" t="n"/>
      <c r="J838" s="28" t="n"/>
      <c r="K838" s="24">
        <f>IF(D838="","",IFERROR(INDEX(Setup!$B$24:$B$59,MATCH(D838,Setup!$A$24:$A$59,0)),"Check category"))</f>
        <v/>
      </c>
      <c r="L838" s="25">
        <f>IF(A838="","",DATE(YEAR(A838),MONTH(A838),1))</f>
        <v/>
      </c>
      <c r="M838" s="26">
        <f>IF(AND(E838="",F838=""),"",N(E838)-N(F838))</f>
        <v/>
      </c>
      <c r="N838" s="28" t="n"/>
    </row>
    <row r="839">
      <c r="A839" s="27" t="n"/>
      <c r="B839" s="28" t="n"/>
      <c r="C839" s="28" t="n"/>
      <c r="D839" s="28" t="n"/>
      <c r="E839" s="29" t="n"/>
      <c r="F839" s="29" t="n"/>
      <c r="G839" s="28" t="n"/>
      <c r="H839" s="28" t="n"/>
      <c r="I839" s="28" t="n"/>
      <c r="J839" s="28" t="n"/>
      <c r="K839" s="24">
        <f>IF(D839="","",IFERROR(INDEX(Setup!$B$24:$B$59,MATCH(D839,Setup!$A$24:$A$59,0)),"Check category"))</f>
        <v/>
      </c>
      <c r="L839" s="25">
        <f>IF(A839="","",DATE(YEAR(A839),MONTH(A839),1))</f>
        <v/>
      </c>
      <c r="M839" s="26">
        <f>IF(AND(E839="",F839=""),"",N(E839)-N(F839))</f>
        <v/>
      </c>
      <c r="N839" s="28" t="n"/>
    </row>
    <row r="840">
      <c r="A840" s="27" t="n"/>
      <c r="B840" s="28" t="n"/>
      <c r="C840" s="28" t="n"/>
      <c r="D840" s="28" t="n"/>
      <c r="E840" s="29" t="n"/>
      <c r="F840" s="29" t="n"/>
      <c r="G840" s="28" t="n"/>
      <c r="H840" s="28" t="n"/>
      <c r="I840" s="28" t="n"/>
      <c r="J840" s="28" t="n"/>
      <c r="K840" s="24">
        <f>IF(D840="","",IFERROR(INDEX(Setup!$B$24:$B$59,MATCH(D840,Setup!$A$24:$A$59,0)),"Check category"))</f>
        <v/>
      </c>
      <c r="L840" s="25">
        <f>IF(A840="","",DATE(YEAR(A840),MONTH(A840),1))</f>
        <v/>
      </c>
      <c r="M840" s="26">
        <f>IF(AND(E840="",F840=""),"",N(E840)-N(F840))</f>
        <v/>
      </c>
      <c r="N840" s="28" t="n"/>
    </row>
    <row r="841">
      <c r="A841" s="27" t="n"/>
      <c r="B841" s="28" t="n"/>
      <c r="C841" s="28" t="n"/>
      <c r="D841" s="28" t="n"/>
      <c r="E841" s="29" t="n"/>
      <c r="F841" s="29" t="n"/>
      <c r="G841" s="28" t="n"/>
      <c r="H841" s="28" t="n"/>
      <c r="I841" s="28" t="n"/>
      <c r="J841" s="28" t="n"/>
      <c r="K841" s="24">
        <f>IF(D841="","",IFERROR(INDEX(Setup!$B$24:$B$59,MATCH(D841,Setup!$A$24:$A$59,0)),"Check category"))</f>
        <v/>
      </c>
      <c r="L841" s="25">
        <f>IF(A841="","",DATE(YEAR(A841),MONTH(A841),1))</f>
        <v/>
      </c>
      <c r="M841" s="26">
        <f>IF(AND(E841="",F841=""),"",N(E841)-N(F841))</f>
        <v/>
      </c>
      <c r="N841" s="28" t="n"/>
    </row>
    <row r="842">
      <c r="A842" s="27" t="n"/>
      <c r="B842" s="28" t="n"/>
      <c r="C842" s="28" t="n"/>
      <c r="D842" s="28" t="n"/>
      <c r="E842" s="29" t="n"/>
      <c r="F842" s="29" t="n"/>
      <c r="G842" s="28" t="n"/>
      <c r="H842" s="28" t="n"/>
      <c r="I842" s="28" t="n"/>
      <c r="J842" s="28" t="n"/>
      <c r="K842" s="24">
        <f>IF(D842="","",IFERROR(INDEX(Setup!$B$24:$B$59,MATCH(D842,Setup!$A$24:$A$59,0)),"Check category"))</f>
        <v/>
      </c>
      <c r="L842" s="25">
        <f>IF(A842="","",DATE(YEAR(A842),MONTH(A842),1))</f>
        <v/>
      </c>
      <c r="M842" s="26">
        <f>IF(AND(E842="",F842=""),"",N(E842)-N(F842))</f>
        <v/>
      </c>
      <c r="N842" s="28" t="n"/>
    </row>
    <row r="843">
      <c r="A843" s="27" t="n"/>
      <c r="B843" s="28" t="n"/>
      <c r="C843" s="28" t="n"/>
      <c r="D843" s="28" t="n"/>
      <c r="E843" s="29" t="n"/>
      <c r="F843" s="29" t="n"/>
      <c r="G843" s="28" t="n"/>
      <c r="H843" s="28" t="n"/>
      <c r="I843" s="28" t="n"/>
      <c r="J843" s="28" t="n"/>
      <c r="K843" s="24">
        <f>IF(D843="","",IFERROR(INDEX(Setup!$B$24:$B$59,MATCH(D843,Setup!$A$24:$A$59,0)),"Check category"))</f>
        <v/>
      </c>
      <c r="L843" s="25">
        <f>IF(A843="","",DATE(YEAR(A843),MONTH(A843),1))</f>
        <v/>
      </c>
      <c r="M843" s="26">
        <f>IF(AND(E843="",F843=""),"",N(E843)-N(F843))</f>
        <v/>
      </c>
      <c r="N843" s="28" t="n"/>
    </row>
    <row r="844">
      <c r="A844" s="27" t="n"/>
      <c r="B844" s="28" t="n"/>
      <c r="C844" s="28" t="n"/>
      <c r="D844" s="28" t="n"/>
      <c r="E844" s="29" t="n"/>
      <c r="F844" s="29" t="n"/>
      <c r="G844" s="28" t="n"/>
      <c r="H844" s="28" t="n"/>
      <c r="I844" s="28" t="n"/>
      <c r="J844" s="28" t="n"/>
      <c r="K844" s="24">
        <f>IF(D844="","",IFERROR(INDEX(Setup!$B$24:$B$59,MATCH(D844,Setup!$A$24:$A$59,0)),"Check category"))</f>
        <v/>
      </c>
      <c r="L844" s="25">
        <f>IF(A844="","",DATE(YEAR(A844),MONTH(A844),1))</f>
        <v/>
      </c>
      <c r="M844" s="26">
        <f>IF(AND(E844="",F844=""),"",N(E844)-N(F844))</f>
        <v/>
      </c>
      <c r="N844" s="28" t="n"/>
    </row>
    <row r="845">
      <c r="A845" s="27" t="n"/>
      <c r="B845" s="28" t="n"/>
      <c r="C845" s="28" t="n"/>
      <c r="D845" s="28" t="n"/>
      <c r="E845" s="29" t="n"/>
      <c r="F845" s="29" t="n"/>
      <c r="G845" s="28" t="n"/>
      <c r="H845" s="28" t="n"/>
      <c r="I845" s="28" t="n"/>
      <c r="J845" s="28" t="n"/>
      <c r="K845" s="24">
        <f>IF(D845="","",IFERROR(INDEX(Setup!$B$24:$B$59,MATCH(D845,Setup!$A$24:$A$59,0)),"Check category"))</f>
        <v/>
      </c>
      <c r="L845" s="25">
        <f>IF(A845="","",DATE(YEAR(A845),MONTH(A845),1))</f>
        <v/>
      </c>
      <c r="M845" s="26">
        <f>IF(AND(E845="",F845=""),"",N(E845)-N(F845))</f>
        <v/>
      </c>
      <c r="N845" s="28" t="n"/>
    </row>
    <row r="846">
      <c r="A846" s="27" t="n"/>
      <c r="B846" s="28" t="n"/>
      <c r="C846" s="28" t="n"/>
      <c r="D846" s="28" t="n"/>
      <c r="E846" s="29" t="n"/>
      <c r="F846" s="29" t="n"/>
      <c r="G846" s="28" t="n"/>
      <c r="H846" s="28" t="n"/>
      <c r="I846" s="28" t="n"/>
      <c r="J846" s="28" t="n"/>
      <c r="K846" s="24">
        <f>IF(D846="","",IFERROR(INDEX(Setup!$B$24:$B$59,MATCH(D846,Setup!$A$24:$A$59,0)),"Check category"))</f>
        <v/>
      </c>
      <c r="L846" s="25">
        <f>IF(A846="","",DATE(YEAR(A846),MONTH(A846),1))</f>
        <v/>
      </c>
      <c r="M846" s="26">
        <f>IF(AND(E846="",F846=""),"",N(E846)-N(F846))</f>
        <v/>
      </c>
      <c r="N846" s="28" t="n"/>
    </row>
    <row r="847">
      <c r="A847" s="27" t="n"/>
      <c r="B847" s="28" t="n"/>
      <c r="C847" s="28" t="n"/>
      <c r="D847" s="28" t="n"/>
      <c r="E847" s="29" t="n"/>
      <c r="F847" s="29" t="n"/>
      <c r="G847" s="28" t="n"/>
      <c r="H847" s="28" t="n"/>
      <c r="I847" s="28" t="n"/>
      <c r="J847" s="28" t="n"/>
      <c r="K847" s="24">
        <f>IF(D847="","",IFERROR(INDEX(Setup!$B$24:$B$59,MATCH(D847,Setup!$A$24:$A$59,0)),"Check category"))</f>
        <v/>
      </c>
      <c r="L847" s="25">
        <f>IF(A847="","",DATE(YEAR(A847),MONTH(A847),1))</f>
        <v/>
      </c>
      <c r="M847" s="26">
        <f>IF(AND(E847="",F847=""),"",N(E847)-N(F847))</f>
        <v/>
      </c>
      <c r="N847" s="28" t="n"/>
    </row>
    <row r="848">
      <c r="A848" s="27" t="n"/>
      <c r="B848" s="28" t="n"/>
      <c r="C848" s="28" t="n"/>
      <c r="D848" s="28" t="n"/>
      <c r="E848" s="29" t="n"/>
      <c r="F848" s="29" t="n"/>
      <c r="G848" s="28" t="n"/>
      <c r="H848" s="28" t="n"/>
      <c r="I848" s="28" t="n"/>
      <c r="J848" s="28" t="n"/>
      <c r="K848" s="24">
        <f>IF(D848="","",IFERROR(INDEX(Setup!$B$24:$B$59,MATCH(D848,Setup!$A$24:$A$59,0)),"Check category"))</f>
        <v/>
      </c>
      <c r="L848" s="25">
        <f>IF(A848="","",DATE(YEAR(A848),MONTH(A848),1))</f>
        <v/>
      </c>
      <c r="M848" s="26">
        <f>IF(AND(E848="",F848=""),"",N(E848)-N(F848))</f>
        <v/>
      </c>
      <c r="N848" s="28" t="n"/>
    </row>
    <row r="849">
      <c r="A849" s="27" t="n"/>
      <c r="B849" s="28" t="n"/>
      <c r="C849" s="28" t="n"/>
      <c r="D849" s="28" t="n"/>
      <c r="E849" s="29" t="n"/>
      <c r="F849" s="29" t="n"/>
      <c r="G849" s="28" t="n"/>
      <c r="H849" s="28" t="n"/>
      <c r="I849" s="28" t="n"/>
      <c r="J849" s="28" t="n"/>
      <c r="K849" s="24">
        <f>IF(D849="","",IFERROR(INDEX(Setup!$B$24:$B$59,MATCH(D849,Setup!$A$24:$A$59,0)),"Check category"))</f>
        <v/>
      </c>
      <c r="L849" s="25">
        <f>IF(A849="","",DATE(YEAR(A849),MONTH(A849),1))</f>
        <v/>
      </c>
      <c r="M849" s="26">
        <f>IF(AND(E849="",F849=""),"",N(E849)-N(F849))</f>
        <v/>
      </c>
      <c r="N849" s="28" t="n"/>
    </row>
    <row r="850">
      <c r="A850" s="27" t="n"/>
      <c r="B850" s="28" t="n"/>
      <c r="C850" s="28" t="n"/>
      <c r="D850" s="28" t="n"/>
      <c r="E850" s="29" t="n"/>
      <c r="F850" s="29" t="n"/>
      <c r="G850" s="28" t="n"/>
      <c r="H850" s="28" t="n"/>
      <c r="I850" s="28" t="n"/>
      <c r="J850" s="28" t="n"/>
      <c r="K850" s="24">
        <f>IF(D850="","",IFERROR(INDEX(Setup!$B$24:$B$59,MATCH(D850,Setup!$A$24:$A$59,0)),"Check category"))</f>
        <v/>
      </c>
      <c r="L850" s="25">
        <f>IF(A850="","",DATE(YEAR(A850),MONTH(A850),1))</f>
        <v/>
      </c>
      <c r="M850" s="26">
        <f>IF(AND(E850="",F850=""),"",N(E850)-N(F850))</f>
        <v/>
      </c>
      <c r="N850" s="28" t="n"/>
    </row>
    <row r="851">
      <c r="A851" s="27" t="n"/>
      <c r="B851" s="28" t="n"/>
      <c r="C851" s="28" t="n"/>
      <c r="D851" s="28" t="n"/>
      <c r="E851" s="29" t="n"/>
      <c r="F851" s="29" t="n"/>
      <c r="G851" s="28" t="n"/>
      <c r="H851" s="28" t="n"/>
      <c r="I851" s="28" t="n"/>
      <c r="J851" s="28" t="n"/>
      <c r="K851" s="24">
        <f>IF(D851="","",IFERROR(INDEX(Setup!$B$24:$B$59,MATCH(D851,Setup!$A$24:$A$59,0)),"Check category"))</f>
        <v/>
      </c>
      <c r="L851" s="25">
        <f>IF(A851="","",DATE(YEAR(A851),MONTH(A851),1))</f>
        <v/>
      </c>
      <c r="M851" s="26">
        <f>IF(AND(E851="",F851=""),"",N(E851)-N(F851))</f>
        <v/>
      </c>
      <c r="N851" s="28" t="n"/>
    </row>
    <row r="852">
      <c r="A852" s="27" t="n"/>
      <c r="B852" s="28" t="n"/>
      <c r="C852" s="28" t="n"/>
      <c r="D852" s="28" t="n"/>
      <c r="E852" s="29" t="n"/>
      <c r="F852" s="29" t="n"/>
      <c r="G852" s="28" t="n"/>
      <c r="H852" s="28" t="n"/>
      <c r="I852" s="28" t="n"/>
      <c r="J852" s="28" t="n"/>
      <c r="K852" s="24">
        <f>IF(D852="","",IFERROR(INDEX(Setup!$B$24:$B$59,MATCH(D852,Setup!$A$24:$A$59,0)),"Check category"))</f>
        <v/>
      </c>
      <c r="L852" s="25">
        <f>IF(A852="","",DATE(YEAR(A852),MONTH(A852),1))</f>
        <v/>
      </c>
      <c r="M852" s="26">
        <f>IF(AND(E852="",F852=""),"",N(E852)-N(F852))</f>
        <v/>
      </c>
      <c r="N852" s="28" t="n"/>
    </row>
    <row r="853">
      <c r="A853" s="27" t="n"/>
      <c r="B853" s="28" t="n"/>
      <c r="C853" s="28" t="n"/>
      <c r="D853" s="28" t="n"/>
      <c r="E853" s="29" t="n"/>
      <c r="F853" s="29" t="n"/>
      <c r="G853" s="28" t="n"/>
      <c r="H853" s="28" t="n"/>
      <c r="I853" s="28" t="n"/>
      <c r="J853" s="28" t="n"/>
      <c r="K853" s="24">
        <f>IF(D853="","",IFERROR(INDEX(Setup!$B$24:$B$59,MATCH(D853,Setup!$A$24:$A$59,0)),"Check category"))</f>
        <v/>
      </c>
      <c r="L853" s="25">
        <f>IF(A853="","",DATE(YEAR(A853),MONTH(A853),1))</f>
        <v/>
      </c>
      <c r="M853" s="26">
        <f>IF(AND(E853="",F853=""),"",N(E853)-N(F853))</f>
        <v/>
      </c>
      <c r="N853" s="28" t="n"/>
    </row>
    <row r="854">
      <c r="A854" s="27" t="n"/>
      <c r="B854" s="28" t="n"/>
      <c r="C854" s="28" t="n"/>
      <c r="D854" s="28" t="n"/>
      <c r="E854" s="29" t="n"/>
      <c r="F854" s="29" t="n"/>
      <c r="G854" s="28" t="n"/>
      <c r="H854" s="28" t="n"/>
      <c r="I854" s="28" t="n"/>
      <c r="J854" s="28" t="n"/>
      <c r="K854" s="24">
        <f>IF(D854="","",IFERROR(INDEX(Setup!$B$24:$B$59,MATCH(D854,Setup!$A$24:$A$59,0)),"Check category"))</f>
        <v/>
      </c>
      <c r="L854" s="25">
        <f>IF(A854="","",DATE(YEAR(A854),MONTH(A854),1))</f>
        <v/>
      </c>
      <c r="M854" s="26">
        <f>IF(AND(E854="",F854=""),"",N(E854)-N(F854))</f>
        <v/>
      </c>
      <c r="N854" s="28" t="n"/>
    </row>
    <row r="855">
      <c r="A855" s="27" t="n"/>
      <c r="B855" s="28" t="n"/>
      <c r="C855" s="28" t="n"/>
      <c r="D855" s="28" t="n"/>
      <c r="E855" s="29" t="n"/>
      <c r="F855" s="29" t="n"/>
      <c r="G855" s="28" t="n"/>
      <c r="H855" s="28" t="n"/>
      <c r="I855" s="28" t="n"/>
      <c r="J855" s="28" t="n"/>
      <c r="K855" s="24">
        <f>IF(D855="","",IFERROR(INDEX(Setup!$B$24:$B$59,MATCH(D855,Setup!$A$24:$A$59,0)),"Check category"))</f>
        <v/>
      </c>
      <c r="L855" s="25">
        <f>IF(A855="","",DATE(YEAR(A855),MONTH(A855),1))</f>
        <v/>
      </c>
      <c r="M855" s="26">
        <f>IF(AND(E855="",F855=""),"",N(E855)-N(F855))</f>
        <v/>
      </c>
      <c r="N855" s="28" t="n"/>
    </row>
    <row r="856">
      <c r="A856" s="27" t="n"/>
      <c r="B856" s="28" t="n"/>
      <c r="C856" s="28" t="n"/>
      <c r="D856" s="28" t="n"/>
      <c r="E856" s="29" t="n"/>
      <c r="F856" s="29" t="n"/>
      <c r="G856" s="28" t="n"/>
      <c r="H856" s="28" t="n"/>
      <c r="I856" s="28" t="n"/>
      <c r="J856" s="28" t="n"/>
      <c r="K856" s="24">
        <f>IF(D856="","",IFERROR(INDEX(Setup!$B$24:$B$59,MATCH(D856,Setup!$A$24:$A$59,0)),"Check category"))</f>
        <v/>
      </c>
      <c r="L856" s="25">
        <f>IF(A856="","",DATE(YEAR(A856),MONTH(A856),1))</f>
        <v/>
      </c>
      <c r="M856" s="26">
        <f>IF(AND(E856="",F856=""),"",N(E856)-N(F856))</f>
        <v/>
      </c>
      <c r="N856" s="28" t="n"/>
    </row>
    <row r="857">
      <c r="A857" s="27" t="n"/>
      <c r="B857" s="28" t="n"/>
      <c r="C857" s="28" t="n"/>
      <c r="D857" s="28" t="n"/>
      <c r="E857" s="29" t="n"/>
      <c r="F857" s="29" t="n"/>
      <c r="G857" s="28" t="n"/>
      <c r="H857" s="28" t="n"/>
      <c r="I857" s="28" t="n"/>
      <c r="J857" s="28" t="n"/>
      <c r="K857" s="24">
        <f>IF(D857="","",IFERROR(INDEX(Setup!$B$24:$B$59,MATCH(D857,Setup!$A$24:$A$59,0)),"Check category"))</f>
        <v/>
      </c>
      <c r="L857" s="25">
        <f>IF(A857="","",DATE(YEAR(A857),MONTH(A857),1))</f>
        <v/>
      </c>
      <c r="M857" s="26">
        <f>IF(AND(E857="",F857=""),"",N(E857)-N(F857))</f>
        <v/>
      </c>
      <c r="N857" s="28" t="n"/>
    </row>
    <row r="858">
      <c r="A858" s="27" t="n"/>
      <c r="B858" s="28" t="n"/>
      <c r="C858" s="28" t="n"/>
      <c r="D858" s="28" t="n"/>
      <c r="E858" s="29" t="n"/>
      <c r="F858" s="29" t="n"/>
      <c r="G858" s="28" t="n"/>
      <c r="H858" s="28" t="n"/>
      <c r="I858" s="28" t="n"/>
      <c r="J858" s="28" t="n"/>
      <c r="K858" s="24">
        <f>IF(D858="","",IFERROR(INDEX(Setup!$B$24:$B$59,MATCH(D858,Setup!$A$24:$A$59,0)),"Check category"))</f>
        <v/>
      </c>
      <c r="L858" s="25">
        <f>IF(A858="","",DATE(YEAR(A858),MONTH(A858),1))</f>
        <v/>
      </c>
      <c r="M858" s="26">
        <f>IF(AND(E858="",F858=""),"",N(E858)-N(F858))</f>
        <v/>
      </c>
      <c r="N858" s="28" t="n"/>
    </row>
    <row r="859">
      <c r="A859" s="27" t="n"/>
      <c r="B859" s="28" t="n"/>
      <c r="C859" s="28" t="n"/>
      <c r="D859" s="28" t="n"/>
      <c r="E859" s="29" t="n"/>
      <c r="F859" s="29" t="n"/>
      <c r="G859" s="28" t="n"/>
      <c r="H859" s="28" t="n"/>
      <c r="I859" s="28" t="n"/>
      <c r="J859" s="28" t="n"/>
      <c r="K859" s="24">
        <f>IF(D859="","",IFERROR(INDEX(Setup!$B$24:$B$59,MATCH(D859,Setup!$A$24:$A$59,0)),"Check category"))</f>
        <v/>
      </c>
      <c r="L859" s="25">
        <f>IF(A859="","",DATE(YEAR(A859),MONTH(A859),1))</f>
        <v/>
      </c>
      <c r="M859" s="26">
        <f>IF(AND(E859="",F859=""),"",N(E859)-N(F859))</f>
        <v/>
      </c>
      <c r="N859" s="28" t="n"/>
    </row>
    <row r="860">
      <c r="A860" s="27" t="n"/>
      <c r="B860" s="28" t="n"/>
      <c r="C860" s="28" t="n"/>
      <c r="D860" s="28" t="n"/>
      <c r="E860" s="29" t="n"/>
      <c r="F860" s="29" t="n"/>
      <c r="G860" s="28" t="n"/>
      <c r="H860" s="28" t="n"/>
      <c r="I860" s="28" t="n"/>
      <c r="J860" s="28" t="n"/>
      <c r="K860" s="24">
        <f>IF(D860="","",IFERROR(INDEX(Setup!$B$24:$B$59,MATCH(D860,Setup!$A$24:$A$59,0)),"Check category"))</f>
        <v/>
      </c>
      <c r="L860" s="25">
        <f>IF(A860="","",DATE(YEAR(A860),MONTH(A860),1))</f>
        <v/>
      </c>
      <c r="M860" s="26">
        <f>IF(AND(E860="",F860=""),"",N(E860)-N(F860))</f>
        <v/>
      </c>
      <c r="N860" s="28" t="n"/>
    </row>
    <row r="861">
      <c r="A861" s="27" t="n"/>
      <c r="B861" s="28" t="n"/>
      <c r="C861" s="28" t="n"/>
      <c r="D861" s="28" t="n"/>
      <c r="E861" s="29" t="n"/>
      <c r="F861" s="29" t="n"/>
      <c r="G861" s="28" t="n"/>
      <c r="H861" s="28" t="n"/>
      <c r="I861" s="28" t="n"/>
      <c r="J861" s="28" t="n"/>
      <c r="K861" s="24">
        <f>IF(D861="","",IFERROR(INDEX(Setup!$B$24:$B$59,MATCH(D861,Setup!$A$24:$A$59,0)),"Check category"))</f>
        <v/>
      </c>
      <c r="L861" s="25">
        <f>IF(A861="","",DATE(YEAR(A861),MONTH(A861),1))</f>
        <v/>
      </c>
      <c r="M861" s="26">
        <f>IF(AND(E861="",F861=""),"",N(E861)-N(F861))</f>
        <v/>
      </c>
      <c r="N861" s="28" t="n"/>
    </row>
    <row r="862">
      <c r="A862" s="27" t="n"/>
      <c r="B862" s="28" t="n"/>
      <c r="C862" s="28" t="n"/>
      <c r="D862" s="28" t="n"/>
      <c r="E862" s="29" t="n"/>
      <c r="F862" s="29" t="n"/>
      <c r="G862" s="28" t="n"/>
      <c r="H862" s="28" t="n"/>
      <c r="I862" s="28" t="n"/>
      <c r="J862" s="28" t="n"/>
      <c r="K862" s="24">
        <f>IF(D862="","",IFERROR(INDEX(Setup!$B$24:$B$59,MATCH(D862,Setup!$A$24:$A$59,0)),"Check category"))</f>
        <v/>
      </c>
      <c r="L862" s="25">
        <f>IF(A862="","",DATE(YEAR(A862),MONTH(A862),1))</f>
        <v/>
      </c>
      <c r="M862" s="26">
        <f>IF(AND(E862="",F862=""),"",N(E862)-N(F862))</f>
        <v/>
      </c>
      <c r="N862" s="28" t="n"/>
    </row>
    <row r="863">
      <c r="A863" s="27" t="n"/>
      <c r="B863" s="28" t="n"/>
      <c r="C863" s="28" t="n"/>
      <c r="D863" s="28" t="n"/>
      <c r="E863" s="29" t="n"/>
      <c r="F863" s="29" t="n"/>
      <c r="G863" s="28" t="n"/>
      <c r="H863" s="28" t="n"/>
      <c r="I863" s="28" t="n"/>
      <c r="J863" s="28" t="n"/>
      <c r="K863" s="24">
        <f>IF(D863="","",IFERROR(INDEX(Setup!$B$24:$B$59,MATCH(D863,Setup!$A$24:$A$59,0)),"Check category"))</f>
        <v/>
      </c>
      <c r="L863" s="25">
        <f>IF(A863="","",DATE(YEAR(A863),MONTH(A863),1))</f>
        <v/>
      </c>
      <c r="M863" s="26">
        <f>IF(AND(E863="",F863=""),"",N(E863)-N(F863))</f>
        <v/>
      </c>
      <c r="N863" s="28" t="n"/>
    </row>
    <row r="864">
      <c r="A864" s="27" t="n"/>
      <c r="B864" s="28" t="n"/>
      <c r="C864" s="28" t="n"/>
      <c r="D864" s="28" t="n"/>
      <c r="E864" s="29" t="n"/>
      <c r="F864" s="29" t="n"/>
      <c r="G864" s="28" t="n"/>
      <c r="H864" s="28" t="n"/>
      <c r="I864" s="28" t="n"/>
      <c r="J864" s="28" t="n"/>
      <c r="K864" s="24">
        <f>IF(D864="","",IFERROR(INDEX(Setup!$B$24:$B$59,MATCH(D864,Setup!$A$24:$A$59,0)),"Check category"))</f>
        <v/>
      </c>
      <c r="L864" s="25">
        <f>IF(A864="","",DATE(YEAR(A864),MONTH(A864),1))</f>
        <v/>
      </c>
      <c r="M864" s="26">
        <f>IF(AND(E864="",F864=""),"",N(E864)-N(F864))</f>
        <v/>
      </c>
      <c r="N864" s="28" t="n"/>
    </row>
    <row r="865">
      <c r="A865" s="27" t="n"/>
      <c r="B865" s="28" t="n"/>
      <c r="C865" s="28" t="n"/>
      <c r="D865" s="28" t="n"/>
      <c r="E865" s="29" t="n"/>
      <c r="F865" s="29" t="n"/>
      <c r="G865" s="28" t="n"/>
      <c r="H865" s="28" t="n"/>
      <c r="I865" s="28" t="n"/>
      <c r="J865" s="28" t="n"/>
      <c r="K865" s="24">
        <f>IF(D865="","",IFERROR(INDEX(Setup!$B$24:$B$59,MATCH(D865,Setup!$A$24:$A$59,0)),"Check category"))</f>
        <v/>
      </c>
      <c r="L865" s="25">
        <f>IF(A865="","",DATE(YEAR(A865),MONTH(A865),1))</f>
        <v/>
      </c>
      <c r="M865" s="26">
        <f>IF(AND(E865="",F865=""),"",N(E865)-N(F865))</f>
        <v/>
      </c>
      <c r="N865" s="28" t="n"/>
    </row>
    <row r="866">
      <c r="A866" s="27" t="n"/>
      <c r="B866" s="28" t="n"/>
      <c r="C866" s="28" t="n"/>
      <c r="D866" s="28" t="n"/>
      <c r="E866" s="29" t="n"/>
      <c r="F866" s="29" t="n"/>
      <c r="G866" s="28" t="n"/>
      <c r="H866" s="28" t="n"/>
      <c r="I866" s="28" t="n"/>
      <c r="J866" s="28" t="n"/>
      <c r="K866" s="24">
        <f>IF(D866="","",IFERROR(INDEX(Setup!$B$24:$B$59,MATCH(D866,Setup!$A$24:$A$59,0)),"Check category"))</f>
        <v/>
      </c>
      <c r="L866" s="25">
        <f>IF(A866="","",DATE(YEAR(A866),MONTH(A866),1))</f>
        <v/>
      </c>
      <c r="M866" s="26">
        <f>IF(AND(E866="",F866=""),"",N(E866)-N(F866))</f>
        <v/>
      </c>
      <c r="N866" s="28" t="n"/>
    </row>
    <row r="867">
      <c r="A867" s="27" t="n"/>
      <c r="B867" s="28" t="n"/>
      <c r="C867" s="28" t="n"/>
      <c r="D867" s="28" t="n"/>
      <c r="E867" s="29" t="n"/>
      <c r="F867" s="29" t="n"/>
      <c r="G867" s="28" t="n"/>
      <c r="H867" s="28" t="n"/>
      <c r="I867" s="28" t="n"/>
      <c r="J867" s="28" t="n"/>
      <c r="K867" s="24">
        <f>IF(D867="","",IFERROR(INDEX(Setup!$B$24:$B$59,MATCH(D867,Setup!$A$24:$A$59,0)),"Check category"))</f>
        <v/>
      </c>
      <c r="L867" s="25">
        <f>IF(A867="","",DATE(YEAR(A867),MONTH(A867),1))</f>
        <v/>
      </c>
      <c r="M867" s="26">
        <f>IF(AND(E867="",F867=""),"",N(E867)-N(F867))</f>
        <v/>
      </c>
      <c r="N867" s="28" t="n"/>
    </row>
    <row r="868">
      <c r="A868" s="27" t="n"/>
      <c r="B868" s="28" t="n"/>
      <c r="C868" s="28" t="n"/>
      <c r="D868" s="28" t="n"/>
      <c r="E868" s="29" t="n"/>
      <c r="F868" s="29" t="n"/>
      <c r="G868" s="28" t="n"/>
      <c r="H868" s="28" t="n"/>
      <c r="I868" s="28" t="n"/>
      <c r="J868" s="28" t="n"/>
      <c r="K868" s="24">
        <f>IF(D868="","",IFERROR(INDEX(Setup!$B$24:$B$59,MATCH(D868,Setup!$A$24:$A$59,0)),"Check category"))</f>
        <v/>
      </c>
      <c r="L868" s="25">
        <f>IF(A868="","",DATE(YEAR(A868),MONTH(A868),1))</f>
        <v/>
      </c>
      <c r="M868" s="26">
        <f>IF(AND(E868="",F868=""),"",N(E868)-N(F868))</f>
        <v/>
      </c>
      <c r="N868" s="28" t="n"/>
    </row>
    <row r="869">
      <c r="A869" s="27" t="n"/>
      <c r="B869" s="28" t="n"/>
      <c r="C869" s="28" t="n"/>
      <c r="D869" s="28" t="n"/>
      <c r="E869" s="29" t="n"/>
      <c r="F869" s="29" t="n"/>
      <c r="G869" s="28" t="n"/>
      <c r="H869" s="28" t="n"/>
      <c r="I869" s="28" t="n"/>
      <c r="J869" s="28" t="n"/>
      <c r="K869" s="24">
        <f>IF(D869="","",IFERROR(INDEX(Setup!$B$24:$B$59,MATCH(D869,Setup!$A$24:$A$59,0)),"Check category"))</f>
        <v/>
      </c>
      <c r="L869" s="25">
        <f>IF(A869="","",DATE(YEAR(A869),MONTH(A869),1))</f>
        <v/>
      </c>
      <c r="M869" s="26">
        <f>IF(AND(E869="",F869=""),"",N(E869)-N(F869))</f>
        <v/>
      </c>
      <c r="N869" s="28" t="n"/>
    </row>
    <row r="870">
      <c r="A870" s="27" t="n"/>
      <c r="B870" s="28" t="n"/>
      <c r="C870" s="28" t="n"/>
      <c r="D870" s="28" t="n"/>
      <c r="E870" s="29" t="n"/>
      <c r="F870" s="29" t="n"/>
      <c r="G870" s="28" t="n"/>
      <c r="H870" s="28" t="n"/>
      <c r="I870" s="28" t="n"/>
      <c r="J870" s="28" t="n"/>
      <c r="K870" s="24">
        <f>IF(D870="","",IFERROR(INDEX(Setup!$B$24:$B$59,MATCH(D870,Setup!$A$24:$A$59,0)),"Check category"))</f>
        <v/>
      </c>
      <c r="L870" s="25">
        <f>IF(A870="","",DATE(YEAR(A870),MONTH(A870),1))</f>
        <v/>
      </c>
      <c r="M870" s="26">
        <f>IF(AND(E870="",F870=""),"",N(E870)-N(F870))</f>
        <v/>
      </c>
      <c r="N870" s="28" t="n"/>
    </row>
    <row r="871">
      <c r="A871" s="27" t="n"/>
      <c r="B871" s="28" t="n"/>
      <c r="C871" s="28" t="n"/>
      <c r="D871" s="28" t="n"/>
      <c r="E871" s="29" t="n"/>
      <c r="F871" s="29" t="n"/>
      <c r="G871" s="28" t="n"/>
      <c r="H871" s="28" t="n"/>
      <c r="I871" s="28" t="n"/>
      <c r="J871" s="28" t="n"/>
      <c r="K871" s="24">
        <f>IF(D871="","",IFERROR(INDEX(Setup!$B$24:$B$59,MATCH(D871,Setup!$A$24:$A$59,0)),"Check category"))</f>
        <v/>
      </c>
      <c r="L871" s="25">
        <f>IF(A871="","",DATE(YEAR(A871),MONTH(A871),1))</f>
        <v/>
      </c>
      <c r="M871" s="26">
        <f>IF(AND(E871="",F871=""),"",N(E871)-N(F871))</f>
        <v/>
      </c>
      <c r="N871" s="28" t="n"/>
    </row>
    <row r="872">
      <c r="A872" s="27" t="n"/>
      <c r="B872" s="28" t="n"/>
      <c r="C872" s="28" t="n"/>
      <c r="D872" s="28" t="n"/>
      <c r="E872" s="29" t="n"/>
      <c r="F872" s="29" t="n"/>
      <c r="G872" s="28" t="n"/>
      <c r="H872" s="28" t="n"/>
      <c r="I872" s="28" t="n"/>
      <c r="J872" s="28" t="n"/>
      <c r="K872" s="24">
        <f>IF(D872="","",IFERROR(INDEX(Setup!$B$24:$B$59,MATCH(D872,Setup!$A$24:$A$59,0)),"Check category"))</f>
        <v/>
      </c>
      <c r="L872" s="25">
        <f>IF(A872="","",DATE(YEAR(A872),MONTH(A872),1))</f>
        <v/>
      </c>
      <c r="M872" s="26">
        <f>IF(AND(E872="",F872=""),"",N(E872)-N(F872))</f>
        <v/>
      </c>
      <c r="N872" s="28" t="n"/>
    </row>
    <row r="873">
      <c r="A873" s="27" t="n"/>
      <c r="B873" s="28" t="n"/>
      <c r="C873" s="28" t="n"/>
      <c r="D873" s="28" t="n"/>
      <c r="E873" s="29" t="n"/>
      <c r="F873" s="29" t="n"/>
      <c r="G873" s="28" t="n"/>
      <c r="H873" s="28" t="n"/>
      <c r="I873" s="28" t="n"/>
      <c r="J873" s="28" t="n"/>
      <c r="K873" s="24">
        <f>IF(D873="","",IFERROR(INDEX(Setup!$B$24:$B$59,MATCH(D873,Setup!$A$24:$A$59,0)),"Check category"))</f>
        <v/>
      </c>
      <c r="L873" s="25">
        <f>IF(A873="","",DATE(YEAR(A873),MONTH(A873),1))</f>
        <v/>
      </c>
      <c r="M873" s="26">
        <f>IF(AND(E873="",F873=""),"",N(E873)-N(F873))</f>
        <v/>
      </c>
      <c r="N873" s="28" t="n"/>
    </row>
    <row r="874">
      <c r="A874" s="27" t="n"/>
      <c r="B874" s="28" t="n"/>
      <c r="C874" s="28" t="n"/>
      <c r="D874" s="28" t="n"/>
      <c r="E874" s="29" t="n"/>
      <c r="F874" s="29" t="n"/>
      <c r="G874" s="28" t="n"/>
      <c r="H874" s="28" t="n"/>
      <c r="I874" s="28" t="n"/>
      <c r="J874" s="28" t="n"/>
      <c r="K874" s="24">
        <f>IF(D874="","",IFERROR(INDEX(Setup!$B$24:$B$59,MATCH(D874,Setup!$A$24:$A$59,0)),"Check category"))</f>
        <v/>
      </c>
      <c r="L874" s="25">
        <f>IF(A874="","",DATE(YEAR(A874),MONTH(A874),1))</f>
        <v/>
      </c>
      <c r="M874" s="26">
        <f>IF(AND(E874="",F874=""),"",N(E874)-N(F874))</f>
        <v/>
      </c>
      <c r="N874" s="28" t="n"/>
    </row>
    <row r="875">
      <c r="A875" s="27" t="n"/>
      <c r="B875" s="28" t="n"/>
      <c r="C875" s="28" t="n"/>
      <c r="D875" s="28" t="n"/>
      <c r="E875" s="29" t="n"/>
      <c r="F875" s="29" t="n"/>
      <c r="G875" s="28" t="n"/>
      <c r="H875" s="28" t="n"/>
      <c r="I875" s="28" t="n"/>
      <c r="J875" s="28" t="n"/>
      <c r="K875" s="24">
        <f>IF(D875="","",IFERROR(INDEX(Setup!$B$24:$B$59,MATCH(D875,Setup!$A$24:$A$59,0)),"Check category"))</f>
        <v/>
      </c>
      <c r="L875" s="25">
        <f>IF(A875="","",DATE(YEAR(A875),MONTH(A875),1))</f>
        <v/>
      </c>
      <c r="M875" s="26">
        <f>IF(AND(E875="",F875=""),"",N(E875)-N(F875))</f>
        <v/>
      </c>
      <c r="N875" s="28" t="n"/>
    </row>
    <row r="876">
      <c r="A876" s="27" t="n"/>
      <c r="B876" s="28" t="n"/>
      <c r="C876" s="28" t="n"/>
      <c r="D876" s="28" t="n"/>
      <c r="E876" s="29" t="n"/>
      <c r="F876" s="29" t="n"/>
      <c r="G876" s="28" t="n"/>
      <c r="H876" s="28" t="n"/>
      <c r="I876" s="28" t="n"/>
      <c r="J876" s="28" t="n"/>
      <c r="K876" s="24">
        <f>IF(D876="","",IFERROR(INDEX(Setup!$B$24:$B$59,MATCH(D876,Setup!$A$24:$A$59,0)),"Check category"))</f>
        <v/>
      </c>
      <c r="L876" s="25">
        <f>IF(A876="","",DATE(YEAR(A876),MONTH(A876),1))</f>
        <v/>
      </c>
      <c r="M876" s="26">
        <f>IF(AND(E876="",F876=""),"",N(E876)-N(F876))</f>
        <v/>
      </c>
      <c r="N876" s="28" t="n"/>
    </row>
    <row r="877">
      <c r="A877" s="27" t="n"/>
      <c r="B877" s="28" t="n"/>
      <c r="C877" s="28" t="n"/>
      <c r="D877" s="28" t="n"/>
      <c r="E877" s="29" t="n"/>
      <c r="F877" s="29" t="n"/>
      <c r="G877" s="28" t="n"/>
      <c r="H877" s="28" t="n"/>
      <c r="I877" s="28" t="n"/>
      <c r="J877" s="28" t="n"/>
      <c r="K877" s="24">
        <f>IF(D877="","",IFERROR(INDEX(Setup!$B$24:$B$59,MATCH(D877,Setup!$A$24:$A$59,0)),"Check category"))</f>
        <v/>
      </c>
      <c r="L877" s="25">
        <f>IF(A877="","",DATE(YEAR(A877),MONTH(A877),1))</f>
        <v/>
      </c>
      <c r="M877" s="26">
        <f>IF(AND(E877="",F877=""),"",N(E877)-N(F877))</f>
        <v/>
      </c>
      <c r="N877" s="28" t="n"/>
    </row>
    <row r="878">
      <c r="A878" s="27" t="n"/>
      <c r="B878" s="28" t="n"/>
      <c r="C878" s="28" t="n"/>
      <c r="D878" s="28" t="n"/>
      <c r="E878" s="29" t="n"/>
      <c r="F878" s="29" t="n"/>
      <c r="G878" s="28" t="n"/>
      <c r="H878" s="28" t="n"/>
      <c r="I878" s="28" t="n"/>
      <c r="J878" s="28" t="n"/>
      <c r="K878" s="24">
        <f>IF(D878="","",IFERROR(INDEX(Setup!$B$24:$B$59,MATCH(D878,Setup!$A$24:$A$59,0)),"Check category"))</f>
        <v/>
      </c>
      <c r="L878" s="25">
        <f>IF(A878="","",DATE(YEAR(A878),MONTH(A878),1))</f>
        <v/>
      </c>
      <c r="M878" s="26">
        <f>IF(AND(E878="",F878=""),"",N(E878)-N(F878))</f>
        <v/>
      </c>
      <c r="N878" s="28" t="n"/>
    </row>
    <row r="879">
      <c r="A879" s="27" t="n"/>
      <c r="B879" s="28" t="n"/>
      <c r="C879" s="28" t="n"/>
      <c r="D879" s="28" t="n"/>
      <c r="E879" s="29" t="n"/>
      <c r="F879" s="29" t="n"/>
      <c r="G879" s="28" t="n"/>
      <c r="H879" s="28" t="n"/>
      <c r="I879" s="28" t="n"/>
      <c r="J879" s="28" t="n"/>
      <c r="K879" s="24">
        <f>IF(D879="","",IFERROR(INDEX(Setup!$B$24:$B$59,MATCH(D879,Setup!$A$24:$A$59,0)),"Check category"))</f>
        <v/>
      </c>
      <c r="L879" s="25">
        <f>IF(A879="","",DATE(YEAR(A879),MONTH(A879),1))</f>
        <v/>
      </c>
      <c r="M879" s="26">
        <f>IF(AND(E879="",F879=""),"",N(E879)-N(F879))</f>
        <v/>
      </c>
      <c r="N879" s="28" t="n"/>
    </row>
    <row r="880">
      <c r="A880" s="27" t="n"/>
      <c r="B880" s="28" t="n"/>
      <c r="C880" s="28" t="n"/>
      <c r="D880" s="28" t="n"/>
      <c r="E880" s="29" t="n"/>
      <c r="F880" s="29" t="n"/>
      <c r="G880" s="28" t="n"/>
      <c r="H880" s="28" t="n"/>
      <c r="I880" s="28" t="n"/>
      <c r="J880" s="28" t="n"/>
      <c r="K880" s="24">
        <f>IF(D880="","",IFERROR(INDEX(Setup!$B$24:$B$59,MATCH(D880,Setup!$A$24:$A$59,0)),"Check category"))</f>
        <v/>
      </c>
      <c r="L880" s="25">
        <f>IF(A880="","",DATE(YEAR(A880),MONTH(A880),1))</f>
        <v/>
      </c>
      <c r="M880" s="26">
        <f>IF(AND(E880="",F880=""),"",N(E880)-N(F880))</f>
        <v/>
      </c>
      <c r="N880" s="28" t="n"/>
    </row>
    <row r="881">
      <c r="A881" s="27" t="n"/>
      <c r="B881" s="28" t="n"/>
      <c r="C881" s="28" t="n"/>
      <c r="D881" s="28" t="n"/>
      <c r="E881" s="29" t="n"/>
      <c r="F881" s="29" t="n"/>
      <c r="G881" s="28" t="n"/>
      <c r="H881" s="28" t="n"/>
      <c r="I881" s="28" t="n"/>
      <c r="J881" s="28" t="n"/>
      <c r="K881" s="24">
        <f>IF(D881="","",IFERROR(INDEX(Setup!$B$24:$B$59,MATCH(D881,Setup!$A$24:$A$59,0)),"Check category"))</f>
        <v/>
      </c>
      <c r="L881" s="25">
        <f>IF(A881="","",DATE(YEAR(A881),MONTH(A881),1))</f>
        <v/>
      </c>
      <c r="M881" s="26">
        <f>IF(AND(E881="",F881=""),"",N(E881)-N(F881))</f>
        <v/>
      </c>
      <c r="N881" s="28" t="n"/>
    </row>
    <row r="882">
      <c r="A882" s="27" t="n"/>
      <c r="B882" s="28" t="n"/>
      <c r="C882" s="28" t="n"/>
      <c r="D882" s="28" t="n"/>
      <c r="E882" s="29" t="n"/>
      <c r="F882" s="29" t="n"/>
      <c r="G882" s="28" t="n"/>
      <c r="H882" s="28" t="n"/>
      <c r="I882" s="28" t="n"/>
      <c r="J882" s="28" t="n"/>
      <c r="K882" s="24">
        <f>IF(D882="","",IFERROR(INDEX(Setup!$B$24:$B$59,MATCH(D882,Setup!$A$24:$A$59,0)),"Check category"))</f>
        <v/>
      </c>
      <c r="L882" s="25">
        <f>IF(A882="","",DATE(YEAR(A882),MONTH(A882),1))</f>
        <v/>
      </c>
      <c r="M882" s="26">
        <f>IF(AND(E882="",F882=""),"",N(E882)-N(F882))</f>
        <v/>
      </c>
      <c r="N882" s="28" t="n"/>
    </row>
    <row r="883">
      <c r="A883" s="27" t="n"/>
      <c r="B883" s="28" t="n"/>
      <c r="C883" s="28" t="n"/>
      <c r="D883" s="28" t="n"/>
      <c r="E883" s="29" t="n"/>
      <c r="F883" s="29" t="n"/>
      <c r="G883" s="28" t="n"/>
      <c r="H883" s="28" t="n"/>
      <c r="I883" s="28" t="n"/>
      <c r="J883" s="28" t="n"/>
      <c r="K883" s="24">
        <f>IF(D883="","",IFERROR(INDEX(Setup!$B$24:$B$59,MATCH(D883,Setup!$A$24:$A$59,0)),"Check category"))</f>
        <v/>
      </c>
      <c r="L883" s="25">
        <f>IF(A883="","",DATE(YEAR(A883),MONTH(A883),1))</f>
        <v/>
      </c>
      <c r="M883" s="26">
        <f>IF(AND(E883="",F883=""),"",N(E883)-N(F883))</f>
        <v/>
      </c>
      <c r="N883" s="28" t="n"/>
    </row>
    <row r="884">
      <c r="A884" s="27" t="n"/>
      <c r="B884" s="28" t="n"/>
      <c r="C884" s="28" t="n"/>
      <c r="D884" s="28" t="n"/>
      <c r="E884" s="29" t="n"/>
      <c r="F884" s="29" t="n"/>
      <c r="G884" s="28" t="n"/>
      <c r="H884" s="28" t="n"/>
      <c r="I884" s="28" t="n"/>
      <c r="J884" s="28" t="n"/>
      <c r="K884" s="24">
        <f>IF(D884="","",IFERROR(INDEX(Setup!$B$24:$B$59,MATCH(D884,Setup!$A$24:$A$59,0)),"Check category"))</f>
        <v/>
      </c>
      <c r="L884" s="25">
        <f>IF(A884="","",DATE(YEAR(A884),MONTH(A884),1))</f>
        <v/>
      </c>
      <c r="M884" s="26">
        <f>IF(AND(E884="",F884=""),"",N(E884)-N(F884))</f>
        <v/>
      </c>
      <c r="N884" s="28" t="n"/>
    </row>
    <row r="885">
      <c r="A885" s="27" t="n"/>
      <c r="B885" s="28" t="n"/>
      <c r="C885" s="28" t="n"/>
      <c r="D885" s="28" t="n"/>
      <c r="E885" s="29" t="n"/>
      <c r="F885" s="29" t="n"/>
      <c r="G885" s="28" t="n"/>
      <c r="H885" s="28" t="n"/>
      <c r="I885" s="28" t="n"/>
      <c r="J885" s="28" t="n"/>
      <c r="K885" s="24">
        <f>IF(D885="","",IFERROR(INDEX(Setup!$B$24:$B$59,MATCH(D885,Setup!$A$24:$A$59,0)),"Check category"))</f>
        <v/>
      </c>
      <c r="L885" s="25">
        <f>IF(A885="","",DATE(YEAR(A885),MONTH(A885),1))</f>
        <v/>
      </c>
      <c r="M885" s="26">
        <f>IF(AND(E885="",F885=""),"",N(E885)-N(F885))</f>
        <v/>
      </c>
      <c r="N885" s="28" t="n"/>
    </row>
    <row r="886">
      <c r="A886" s="27" t="n"/>
      <c r="B886" s="28" t="n"/>
      <c r="C886" s="28" t="n"/>
      <c r="D886" s="28" t="n"/>
      <c r="E886" s="29" t="n"/>
      <c r="F886" s="29" t="n"/>
      <c r="G886" s="28" t="n"/>
      <c r="H886" s="28" t="n"/>
      <c r="I886" s="28" t="n"/>
      <c r="J886" s="28" t="n"/>
      <c r="K886" s="24">
        <f>IF(D886="","",IFERROR(INDEX(Setup!$B$24:$B$59,MATCH(D886,Setup!$A$24:$A$59,0)),"Check category"))</f>
        <v/>
      </c>
      <c r="L886" s="25">
        <f>IF(A886="","",DATE(YEAR(A886),MONTH(A886),1))</f>
        <v/>
      </c>
      <c r="M886" s="26">
        <f>IF(AND(E886="",F886=""),"",N(E886)-N(F886))</f>
        <v/>
      </c>
      <c r="N886" s="28" t="n"/>
    </row>
    <row r="887">
      <c r="A887" s="27" t="n"/>
      <c r="B887" s="28" t="n"/>
      <c r="C887" s="28" t="n"/>
      <c r="D887" s="28" t="n"/>
      <c r="E887" s="29" t="n"/>
      <c r="F887" s="29" t="n"/>
      <c r="G887" s="28" t="n"/>
      <c r="H887" s="28" t="n"/>
      <c r="I887" s="28" t="n"/>
      <c r="J887" s="28" t="n"/>
      <c r="K887" s="24">
        <f>IF(D887="","",IFERROR(INDEX(Setup!$B$24:$B$59,MATCH(D887,Setup!$A$24:$A$59,0)),"Check category"))</f>
        <v/>
      </c>
      <c r="L887" s="25">
        <f>IF(A887="","",DATE(YEAR(A887),MONTH(A887),1))</f>
        <v/>
      </c>
      <c r="M887" s="26">
        <f>IF(AND(E887="",F887=""),"",N(E887)-N(F887))</f>
        <v/>
      </c>
      <c r="N887" s="28" t="n"/>
    </row>
    <row r="888">
      <c r="A888" s="27" t="n"/>
      <c r="B888" s="28" t="n"/>
      <c r="C888" s="28" t="n"/>
      <c r="D888" s="28" t="n"/>
      <c r="E888" s="29" t="n"/>
      <c r="F888" s="29" t="n"/>
      <c r="G888" s="28" t="n"/>
      <c r="H888" s="28" t="n"/>
      <c r="I888" s="28" t="n"/>
      <c r="J888" s="28" t="n"/>
      <c r="K888" s="24">
        <f>IF(D888="","",IFERROR(INDEX(Setup!$B$24:$B$59,MATCH(D888,Setup!$A$24:$A$59,0)),"Check category"))</f>
        <v/>
      </c>
      <c r="L888" s="25">
        <f>IF(A888="","",DATE(YEAR(A888),MONTH(A888),1))</f>
        <v/>
      </c>
      <c r="M888" s="26">
        <f>IF(AND(E888="",F888=""),"",N(E888)-N(F888))</f>
        <v/>
      </c>
      <c r="N888" s="28" t="n"/>
    </row>
    <row r="889">
      <c r="A889" s="27" t="n"/>
      <c r="B889" s="28" t="n"/>
      <c r="C889" s="28" t="n"/>
      <c r="D889" s="28" t="n"/>
      <c r="E889" s="29" t="n"/>
      <c r="F889" s="29" t="n"/>
      <c r="G889" s="28" t="n"/>
      <c r="H889" s="28" t="n"/>
      <c r="I889" s="28" t="n"/>
      <c r="J889" s="28" t="n"/>
      <c r="K889" s="24">
        <f>IF(D889="","",IFERROR(INDEX(Setup!$B$24:$B$59,MATCH(D889,Setup!$A$24:$A$59,0)),"Check category"))</f>
        <v/>
      </c>
      <c r="L889" s="25">
        <f>IF(A889="","",DATE(YEAR(A889),MONTH(A889),1))</f>
        <v/>
      </c>
      <c r="M889" s="26">
        <f>IF(AND(E889="",F889=""),"",N(E889)-N(F889))</f>
        <v/>
      </c>
      <c r="N889" s="28" t="n"/>
    </row>
    <row r="890">
      <c r="A890" s="27" t="n"/>
      <c r="B890" s="28" t="n"/>
      <c r="C890" s="28" t="n"/>
      <c r="D890" s="28" t="n"/>
      <c r="E890" s="29" t="n"/>
      <c r="F890" s="29" t="n"/>
      <c r="G890" s="28" t="n"/>
      <c r="H890" s="28" t="n"/>
      <c r="I890" s="28" t="n"/>
      <c r="J890" s="28" t="n"/>
      <c r="K890" s="24">
        <f>IF(D890="","",IFERROR(INDEX(Setup!$B$24:$B$59,MATCH(D890,Setup!$A$24:$A$59,0)),"Check category"))</f>
        <v/>
      </c>
      <c r="L890" s="25">
        <f>IF(A890="","",DATE(YEAR(A890),MONTH(A890),1))</f>
        <v/>
      </c>
      <c r="M890" s="26">
        <f>IF(AND(E890="",F890=""),"",N(E890)-N(F890))</f>
        <v/>
      </c>
      <c r="N890" s="28" t="n"/>
    </row>
    <row r="891">
      <c r="A891" s="27" t="n"/>
      <c r="B891" s="28" t="n"/>
      <c r="C891" s="28" t="n"/>
      <c r="D891" s="28" t="n"/>
      <c r="E891" s="29" t="n"/>
      <c r="F891" s="29" t="n"/>
      <c r="G891" s="28" t="n"/>
      <c r="H891" s="28" t="n"/>
      <c r="I891" s="28" t="n"/>
      <c r="J891" s="28" t="n"/>
      <c r="K891" s="24">
        <f>IF(D891="","",IFERROR(INDEX(Setup!$B$24:$B$59,MATCH(D891,Setup!$A$24:$A$59,0)),"Check category"))</f>
        <v/>
      </c>
      <c r="L891" s="25">
        <f>IF(A891="","",DATE(YEAR(A891),MONTH(A891),1))</f>
        <v/>
      </c>
      <c r="M891" s="26">
        <f>IF(AND(E891="",F891=""),"",N(E891)-N(F891))</f>
        <v/>
      </c>
      <c r="N891" s="28" t="n"/>
    </row>
    <row r="892">
      <c r="A892" s="27" t="n"/>
      <c r="B892" s="28" t="n"/>
      <c r="C892" s="28" t="n"/>
      <c r="D892" s="28" t="n"/>
      <c r="E892" s="29" t="n"/>
      <c r="F892" s="29" t="n"/>
      <c r="G892" s="28" t="n"/>
      <c r="H892" s="28" t="n"/>
      <c r="I892" s="28" t="n"/>
      <c r="J892" s="28" t="n"/>
      <c r="K892" s="24">
        <f>IF(D892="","",IFERROR(INDEX(Setup!$B$24:$B$59,MATCH(D892,Setup!$A$24:$A$59,0)),"Check category"))</f>
        <v/>
      </c>
      <c r="L892" s="25">
        <f>IF(A892="","",DATE(YEAR(A892),MONTH(A892),1))</f>
        <v/>
      </c>
      <c r="M892" s="26">
        <f>IF(AND(E892="",F892=""),"",N(E892)-N(F892))</f>
        <v/>
      </c>
      <c r="N892" s="28" t="n"/>
    </row>
    <row r="893">
      <c r="A893" s="27" t="n"/>
      <c r="B893" s="28" t="n"/>
      <c r="C893" s="28" t="n"/>
      <c r="D893" s="28" t="n"/>
      <c r="E893" s="29" t="n"/>
      <c r="F893" s="29" t="n"/>
      <c r="G893" s="28" t="n"/>
      <c r="H893" s="28" t="n"/>
      <c r="I893" s="28" t="n"/>
      <c r="J893" s="28" t="n"/>
      <c r="K893" s="24">
        <f>IF(D893="","",IFERROR(INDEX(Setup!$B$24:$B$59,MATCH(D893,Setup!$A$24:$A$59,0)),"Check category"))</f>
        <v/>
      </c>
      <c r="L893" s="25">
        <f>IF(A893="","",DATE(YEAR(A893),MONTH(A893),1))</f>
        <v/>
      </c>
      <c r="M893" s="26">
        <f>IF(AND(E893="",F893=""),"",N(E893)-N(F893))</f>
        <v/>
      </c>
      <c r="N893" s="28" t="n"/>
    </row>
    <row r="894">
      <c r="A894" s="27" t="n"/>
      <c r="B894" s="28" t="n"/>
      <c r="C894" s="28" t="n"/>
      <c r="D894" s="28" t="n"/>
      <c r="E894" s="29" t="n"/>
      <c r="F894" s="29" t="n"/>
      <c r="G894" s="28" t="n"/>
      <c r="H894" s="28" t="n"/>
      <c r="I894" s="28" t="n"/>
      <c r="J894" s="28" t="n"/>
      <c r="K894" s="24">
        <f>IF(D894="","",IFERROR(INDEX(Setup!$B$24:$B$59,MATCH(D894,Setup!$A$24:$A$59,0)),"Check category"))</f>
        <v/>
      </c>
      <c r="L894" s="25">
        <f>IF(A894="","",DATE(YEAR(A894),MONTH(A894),1))</f>
        <v/>
      </c>
      <c r="M894" s="26">
        <f>IF(AND(E894="",F894=""),"",N(E894)-N(F894))</f>
        <v/>
      </c>
      <c r="N894" s="28" t="n"/>
    </row>
    <row r="895">
      <c r="A895" s="27" t="n"/>
      <c r="B895" s="28" t="n"/>
      <c r="C895" s="28" t="n"/>
      <c r="D895" s="28" t="n"/>
      <c r="E895" s="29" t="n"/>
      <c r="F895" s="29" t="n"/>
      <c r="G895" s="28" t="n"/>
      <c r="H895" s="28" t="n"/>
      <c r="I895" s="28" t="n"/>
      <c r="J895" s="28" t="n"/>
      <c r="K895" s="24">
        <f>IF(D895="","",IFERROR(INDEX(Setup!$B$24:$B$59,MATCH(D895,Setup!$A$24:$A$59,0)),"Check category"))</f>
        <v/>
      </c>
      <c r="L895" s="25">
        <f>IF(A895="","",DATE(YEAR(A895),MONTH(A895),1))</f>
        <v/>
      </c>
      <c r="M895" s="26">
        <f>IF(AND(E895="",F895=""),"",N(E895)-N(F895))</f>
        <v/>
      </c>
      <c r="N895" s="28" t="n"/>
    </row>
    <row r="896">
      <c r="A896" s="27" t="n"/>
      <c r="B896" s="28" t="n"/>
      <c r="C896" s="28" t="n"/>
      <c r="D896" s="28" t="n"/>
      <c r="E896" s="29" t="n"/>
      <c r="F896" s="29" t="n"/>
      <c r="G896" s="28" t="n"/>
      <c r="H896" s="28" t="n"/>
      <c r="I896" s="28" t="n"/>
      <c r="J896" s="28" t="n"/>
      <c r="K896" s="24">
        <f>IF(D896="","",IFERROR(INDEX(Setup!$B$24:$B$59,MATCH(D896,Setup!$A$24:$A$59,0)),"Check category"))</f>
        <v/>
      </c>
      <c r="L896" s="25">
        <f>IF(A896="","",DATE(YEAR(A896),MONTH(A896),1))</f>
        <v/>
      </c>
      <c r="M896" s="26">
        <f>IF(AND(E896="",F896=""),"",N(E896)-N(F896))</f>
        <v/>
      </c>
      <c r="N896" s="28" t="n"/>
    </row>
    <row r="897">
      <c r="A897" s="27" t="n"/>
      <c r="B897" s="28" t="n"/>
      <c r="C897" s="28" t="n"/>
      <c r="D897" s="28" t="n"/>
      <c r="E897" s="29" t="n"/>
      <c r="F897" s="29" t="n"/>
      <c r="G897" s="28" t="n"/>
      <c r="H897" s="28" t="n"/>
      <c r="I897" s="28" t="n"/>
      <c r="J897" s="28" t="n"/>
      <c r="K897" s="24">
        <f>IF(D897="","",IFERROR(INDEX(Setup!$B$24:$B$59,MATCH(D897,Setup!$A$24:$A$59,0)),"Check category"))</f>
        <v/>
      </c>
      <c r="L897" s="25">
        <f>IF(A897="","",DATE(YEAR(A897),MONTH(A897),1))</f>
        <v/>
      </c>
      <c r="M897" s="26">
        <f>IF(AND(E897="",F897=""),"",N(E897)-N(F897))</f>
        <v/>
      </c>
      <c r="N897" s="28" t="n"/>
    </row>
    <row r="898">
      <c r="A898" s="27" t="n"/>
      <c r="B898" s="28" t="n"/>
      <c r="C898" s="28" t="n"/>
      <c r="D898" s="28" t="n"/>
      <c r="E898" s="29" t="n"/>
      <c r="F898" s="29" t="n"/>
      <c r="G898" s="28" t="n"/>
      <c r="H898" s="28" t="n"/>
      <c r="I898" s="28" t="n"/>
      <c r="J898" s="28" t="n"/>
      <c r="K898" s="24">
        <f>IF(D898="","",IFERROR(INDEX(Setup!$B$24:$B$59,MATCH(D898,Setup!$A$24:$A$59,0)),"Check category"))</f>
        <v/>
      </c>
      <c r="L898" s="25">
        <f>IF(A898="","",DATE(YEAR(A898),MONTH(A898),1))</f>
        <v/>
      </c>
      <c r="M898" s="26">
        <f>IF(AND(E898="",F898=""),"",N(E898)-N(F898))</f>
        <v/>
      </c>
      <c r="N898" s="28" t="n"/>
    </row>
    <row r="899">
      <c r="A899" s="27" t="n"/>
      <c r="B899" s="28" t="n"/>
      <c r="C899" s="28" t="n"/>
      <c r="D899" s="28" t="n"/>
      <c r="E899" s="29" t="n"/>
      <c r="F899" s="29" t="n"/>
      <c r="G899" s="28" t="n"/>
      <c r="H899" s="28" t="n"/>
      <c r="I899" s="28" t="n"/>
      <c r="J899" s="28" t="n"/>
      <c r="K899" s="24">
        <f>IF(D899="","",IFERROR(INDEX(Setup!$B$24:$B$59,MATCH(D899,Setup!$A$24:$A$59,0)),"Check category"))</f>
        <v/>
      </c>
      <c r="L899" s="25">
        <f>IF(A899="","",DATE(YEAR(A899),MONTH(A899),1))</f>
        <v/>
      </c>
      <c r="M899" s="26">
        <f>IF(AND(E899="",F899=""),"",N(E899)-N(F899))</f>
        <v/>
      </c>
      <c r="N899" s="28" t="n"/>
    </row>
    <row r="900">
      <c r="A900" s="27" t="n"/>
      <c r="B900" s="28" t="n"/>
      <c r="C900" s="28" t="n"/>
      <c r="D900" s="28" t="n"/>
      <c r="E900" s="29" t="n"/>
      <c r="F900" s="29" t="n"/>
      <c r="G900" s="28" t="n"/>
      <c r="H900" s="28" t="n"/>
      <c r="I900" s="28" t="n"/>
      <c r="J900" s="28" t="n"/>
      <c r="K900" s="24">
        <f>IF(D900="","",IFERROR(INDEX(Setup!$B$24:$B$59,MATCH(D900,Setup!$A$24:$A$59,0)),"Check category"))</f>
        <v/>
      </c>
      <c r="L900" s="25">
        <f>IF(A900="","",DATE(YEAR(A900),MONTH(A900),1))</f>
        <v/>
      </c>
      <c r="M900" s="26">
        <f>IF(AND(E900="",F900=""),"",N(E900)-N(F900))</f>
        <v/>
      </c>
      <c r="N900" s="28" t="n"/>
    </row>
    <row r="901">
      <c r="A901" s="27" t="n"/>
      <c r="B901" s="28" t="n"/>
      <c r="C901" s="28" t="n"/>
      <c r="D901" s="28" t="n"/>
      <c r="E901" s="29" t="n"/>
      <c r="F901" s="29" t="n"/>
      <c r="G901" s="28" t="n"/>
      <c r="H901" s="28" t="n"/>
      <c r="I901" s="28" t="n"/>
      <c r="J901" s="28" t="n"/>
      <c r="K901" s="24">
        <f>IF(D901="","",IFERROR(INDEX(Setup!$B$24:$B$59,MATCH(D901,Setup!$A$24:$A$59,0)),"Check category"))</f>
        <v/>
      </c>
      <c r="L901" s="25">
        <f>IF(A901="","",DATE(YEAR(A901),MONTH(A901),1))</f>
        <v/>
      </c>
      <c r="M901" s="26">
        <f>IF(AND(E901="",F901=""),"",N(E901)-N(F901))</f>
        <v/>
      </c>
      <c r="N901" s="28" t="n"/>
    </row>
    <row r="902">
      <c r="A902" s="27" t="n"/>
      <c r="B902" s="28" t="n"/>
      <c r="C902" s="28" t="n"/>
      <c r="D902" s="28" t="n"/>
      <c r="E902" s="29" t="n"/>
      <c r="F902" s="29" t="n"/>
      <c r="G902" s="28" t="n"/>
      <c r="H902" s="28" t="n"/>
      <c r="I902" s="28" t="n"/>
      <c r="J902" s="28" t="n"/>
      <c r="K902" s="24">
        <f>IF(D902="","",IFERROR(INDEX(Setup!$B$24:$B$59,MATCH(D902,Setup!$A$24:$A$59,0)),"Check category"))</f>
        <v/>
      </c>
      <c r="L902" s="25">
        <f>IF(A902="","",DATE(YEAR(A902),MONTH(A902),1))</f>
        <v/>
      </c>
      <c r="M902" s="26">
        <f>IF(AND(E902="",F902=""),"",N(E902)-N(F902))</f>
        <v/>
      </c>
      <c r="N902" s="28" t="n"/>
    </row>
    <row r="903">
      <c r="A903" s="27" t="n"/>
      <c r="B903" s="28" t="n"/>
      <c r="C903" s="28" t="n"/>
      <c r="D903" s="28" t="n"/>
      <c r="E903" s="29" t="n"/>
      <c r="F903" s="29" t="n"/>
      <c r="G903" s="28" t="n"/>
      <c r="H903" s="28" t="n"/>
      <c r="I903" s="28" t="n"/>
      <c r="J903" s="28" t="n"/>
      <c r="K903" s="24">
        <f>IF(D903="","",IFERROR(INDEX(Setup!$B$24:$B$59,MATCH(D903,Setup!$A$24:$A$59,0)),"Check category"))</f>
        <v/>
      </c>
      <c r="L903" s="25">
        <f>IF(A903="","",DATE(YEAR(A903),MONTH(A903),1))</f>
        <v/>
      </c>
      <c r="M903" s="26">
        <f>IF(AND(E903="",F903=""),"",N(E903)-N(F903))</f>
        <v/>
      </c>
      <c r="N903" s="28" t="n"/>
    </row>
    <row r="904">
      <c r="A904" s="27" t="n"/>
      <c r="B904" s="28" t="n"/>
      <c r="C904" s="28" t="n"/>
      <c r="D904" s="28" t="n"/>
      <c r="E904" s="29" t="n"/>
      <c r="F904" s="29" t="n"/>
      <c r="G904" s="28" t="n"/>
      <c r="H904" s="28" t="n"/>
      <c r="I904" s="28" t="n"/>
      <c r="J904" s="28" t="n"/>
      <c r="K904" s="24">
        <f>IF(D904="","",IFERROR(INDEX(Setup!$B$24:$B$59,MATCH(D904,Setup!$A$24:$A$59,0)),"Check category"))</f>
        <v/>
      </c>
      <c r="L904" s="25">
        <f>IF(A904="","",DATE(YEAR(A904),MONTH(A904),1))</f>
        <v/>
      </c>
      <c r="M904" s="26">
        <f>IF(AND(E904="",F904=""),"",N(E904)-N(F904))</f>
        <v/>
      </c>
      <c r="N904" s="28" t="n"/>
    </row>
    <row r="905">
      <c r="A905" s="27" t="n"/>
      <c r="B905" s="28" t="n"/>
      <c r="C905" s="28" t="n"/>
      <c r="D905" s="28" t="n"/>
      <c r="E905" s="29" t="n"/>
      <c r="F905" s="29" t="n"/>
      <c r="G905" s="28" t="n"/>
      <c r="H905" s="28" t="n"/>
      <c r="I905" s="28" t="n"/>
      <c r="J905" s="28" t="n"/>
      <c r="K905" s="24">
        <f>IF(D905="","",IFERROR(INDEX(Setup!$B$24:$B$59,MATCH(D905,Setup!$A$24:$A$59,0)),"Check category"))</f>
        <v/>
      </c>
      <c r="L905" s="25">
        <f>IF(A905="","",DATE(YEAR(A905),MONTH(A905),1))</f>
        <v/>
      </c>
      <c r="M905" s="26">
        <f>IF(AND(E905="",F905=""),"",N(E905)-N(F905))</f>
        <v/>
      </c>
      <c r="N905" s="28" t="n"/>
    </row>
    <row r="906">
      <c r="A906" s="27" t="n"/>
      <c r="B906" s="28" t="n"/>
      <c r="C906" s="28" t="n"/>
      <c r="D906" s="28" t="n"/>
      <c r="E906" s="29" t="n"/>
      <c r="F906" s="29" t="n"/>
      <c r="G906" s="28" t="n"/>
      <c r="H906" s="28" t="n"/>
      <c r="I906" s="28" t="n"/>
      <c r="J906" s="28" t="n"/>
      <c r="K906" s="24">
        <f>IF(D906="","",IFERROR(INDEX(Setup!$B$24:$B$59,MATCH(D906,Setup!$A$24:$A$59,0)),"Check category"))</f>
        <v/>
      </c>
      <c r="L906" s="25">
        <f>IF(A906="","",DATE(YEAR(A906),MONTH(A906),1))</f>
        <v/>
      </c>
      <c r="M906" s="26">
        <f>IF(AND(E906="",F906=""),"",N(E906)-N(F906))</f>
        <v/>
      </c>
      <c r="N906" s="28" t="n"/>
    </row>
    <row r="907">
      <c r="A907" s="27" t="n"/>
      <c r="B907" s="28" t="n"/>
      <c r="C907" s="28" t="n"/>
      <c r="D907" s="28" t="n"/>
      <c r="E907" s="29" t="n"/>
      <c r="F907" s="29" t="n"/>
      <c r="G907" s="28" t="n"/>
      <c r="H907" s="28" t="n"/>
      <c r="I907" s="28" t="n"/>
      <c r="J907" s="28" t="n"/>
      <c r="K907" s="24">
        <f>IF(D907="","",IFERROR(INDEX(Setup!$B$24:$B$59,MATCH(D907,Setup!$A$24:$A$59,0)),"Check category"))</f>
        <v/>
      </c>
      <c r="L907" s="25">
        <f>IF(A907="","",DATE(YEAR(A907),MONTH(A907),1))</f>
        <v/>
      </c>
      <c r="M907" s="26">
        <f>IF(AND(E907="",F907=""),"",N(E907)-N(F907))</f>
        <v/>
      </c>
      <c r="N907" s="28" t="n"/>
    </row>
    <row r="908">
      <c r="A908" s="27" t="n"/>
      <c r="B908" s="28" t="n"/>
      <c r="C908" s="28" t="n"/>
      <c r="D908" s="28" t="n"/>
      <c r="E908" s="29" t="n"/>
      <c r="F908" s="29" t="n"/>
      <c r="G908" s="28" t="n"/>
      <c r="H908" s="28" t="n"/>
      <c r="I908" s="28" t="n"/>
      <c r="J908" s="28" t="n"/>
      <c r="K908" s="24">
        <f>IF(D908="","",IFERROR(INDEX(Setup!$B$24:$B$59,MATCH(D908,Setup!$A$24:$A$59,0)),"Check category"))</f>
        <v/>
      </c>
      <c r="L908" s="25">
        <f>IF(A908="","",DATE(YEAR(A908),MONTH(A908),1))</f>
        <v/>
      </c>
      <c r="M908" s="26">
        <f>IF(AND(E908="",F908=""),"",N(E908)-N(F908))</f>
        <v/>
      </c>
      <c r="N908" s="28" t="n"/>
    </row>
    <row r="909">
      <c r="A909" s="27" t="n"/>
      <c r="B909" s="28" t="n"/>
      <c r="C909" s="28" t="n"/>
      <c r="D909" s="28" t="n"/>
      <c r="E909" s="29" t="n"/>
      <c r="F909" s="29" t="n"/>
      <c r="G909" s="28" t="n"/>
      <c r="H909" s="28" t="n"/>
      <c r="I909" s="28" t="n"/>
      <c r="J909" s="28" t="n"/>
      <c r="K909" s="24">
        <f>IF(D909="","",IFERROR(INDEX(Setup!$B$24:$B$59,MATCH(D909,Setup!$A$24:$A$59,0)),"Check category"))</f>
        <v/>
      </c>
      <c r="L909" s="25">
        <f>IF(A909="","",DATE(YEAR(A909),MONTH(A909),1))</f>
        <v/>
      </c>
      <c r="M909" s="26">
        <f>IF(AND(E909="",F909=""),"",N(E909)-N(F909))</f>
        <v/>
      </c>
      <c r="N909" s="28" t="n"/>
    </row>
    <row r="910">
      <c r="A910" s="27" t="n"/>
      <c r="B910" s="28" t="n"/>
      <c r="C910" s="28" t="n"/>
      <c r="D910" s="28" t="n"/>
      <c r="E910" s="29" t="n"/>
      <c r="F910" s="29" t="n"/>
      <c r="G910" s="28" t="n"/>
      <c r="H910" s="28" t="n"/>
      <c r="I910" s="28" t="n"/>
      <c r="J910" s="28" t="n"/>
      <c r="K910" s="24">
        <f>IF(D910="","",IFERROR(INDEX(Setup!$B$24:$B$59,MATCH(D910,Setup!$A$24:$A$59,0)),"Check category"))</f>
        <v/>
      </c>
      <c r="L910" s="25">
        <f>IF(A910="","",DATE(YEAR(A910),MONTH(A910),1))</f>
        <v/>
      </c>
      <c r="M910" s="26">
        <f>IF(AND(E910="",F910=""),"",N(E910)-N(F910))</f>
        <v/>
      </c>
      <c r="N910" s="28" t="n"/>
    </row>
    <row r="911">
      <c r="A911" s="27" t="n"/>
      <c r="B911" s="28" t="n"/>
      <c r="C911" s="28" t="n"/>
      <c r="D911" s="28" t="n"/>
      <c r="E911" s="29" t="n"/>
      <c r="F911" s="29" t="n"/>
      <c r="G911" s="28" t="n"/>
      <c r="H911" s="28" t="n"/>
      <c r="I911" s="28" t="n"/>
      <c r="J911" s="28" t="n"/>
      <c r="K911" s="24">
        <f>IF(D911="","",IFERROR(INDEX(Setup!$B$24:$B$59,MATCH(D911,Setup!$A$24:$A$59,0)),"Check category"))</f>
        <v/>
      </c>
      <c r="L911" s="25">
        <f>IF(A911="","",DATE(YEAR(A911),MONTH(A911),1))</f>
        <v/>
      </c>
      <c r="M911" s="26">
        <f>IF(AND(E911="",F911=""),"",N(E911)-N(F911))</f>
        <v/>
      </c>
      <c r="N911" s="28" t="n"/>
    </row>
    <row r="912">
      <c r="A912" s="27" t="n"/>
      <c r="B912" s="28" t="n"/>
      <c r="C912" s="28" t="n"/>
      <c r="D912" s="28" t="n"/>
      <c r="E912" s="29" t="n"/>
      <c r="F912" s="29" t="n"/>
      <c r="G912" s="28" t="n"/>
      <c r="H912" s="28" t="n"/>
      <c r="I912" s="28" t="n"/>
      <c r="J912" s="28" t="n"/>
      <c r="K912" s="24">
        <f>IF(D912="","",IFERROR(INDEX(Setup!$B$24:$B$59,MATCH(D912,Setup!$A$24:$A$59,0)),"Check category"))</f>
        <v/>
      </c>
      <c r="L912" s="25">
        <f>IF(A912="","",DATE(YEAR(A912),MONTH(A912),1))</f>
        <v/>
      </c>
      <c r="M912" s="26">
        <f>IF(AND(E912="",F912=""),"",N(E912)-N(F912))</f>
        <v/>
      </c>
      <c r="N912" s="28" t="n"/>
    </row>
    <row r="913">
      <c r="A913" s="27" t="n"/>
      <c r="B913" s="28" t="n"/>
      <c r="C913" s="28" t="n"/>
      <c r="D913" s="28" t="n"/>
      <c r="E913" s="29" t="n"/>
      <c r="F913" s="29" t="n"/>
      <c r="G913" s="28" t="n"/>
      <c r="H913" s="28" t="n"/>
      <c r="I913" s="28" t="n"/>
      <c r="J913" s="28" t="n"/>
      <c r="K913" s="24">
        <f>IF(D913="","",IFERROR(INDEX(Setup!$B$24:$B$59,MATCH(D913,Setup!$A$24:$A$59,0)),"Check category"))</f>
        <v/>
      </c>
      <c r="L913" s="25">
        <f>IF(A913="","",DATE(YEAR(A913),MONTH(A913),1))</f>
        <v/>
      </c>
      <c r="M913" s="26">
        <f>IF(AND(E913="",F913=""),"",N(E913)-N(F913))</f>
        <v/>
      </c>
      <c r="N913" s="28" t="n"/>
    </row>
    <row r="914">
      <c r="A914" s="27" t="n"/>
      <c r="B914" s="28" t="n"/>
      <c r="C914" s="28" t="n"/>
      <c r="D914" s="28" t="n"/>
      <c r="E914" s="29" t="n"/>
      <c r="F914" s="29" t="n"/>
      <c r="G914" s="28" t="n"/>
      <c r="H914" s="28" t="n"/>
      <c r="I914" s="28" t="n"/>
      <c r="J914" s="28" t="n"/>
      <c r="K914" s="24">
        <f>IF(D914="","",IFERROR(INDEX(Setup!$B$24:$B$59,MATCH(D914,Setup!$A$24:$A$59,0)),"Check category"))</f>
        <v/>
      </c>
      <c r="L914" s="25">
        <f>IF(A914="","",DATE(YEAR(A914),MONTH(A914),1))</f>
        <v/>
      </c>
      <c r="M914" s="26">
        <f>IF(AND(E914="",F914=""),"",N(E914)-N(F914))</f>
        <v/>
      </c>
      <c r="N914" s="28" t="n"/>
    </row>
    <row r="915">
      <c r="A915" s="27" t="n"/>
      <c r="B915" s="28" t="n"/>
      <c r="C915" s="28" t="n"/>
      <c r="D915" s="28" t="n"/>
      <c r="E915" s="29" t="n"/>
      <c r="F915" s="29" t="n"/>
      <c r="G915" s="28" t="n"/>
      <c r="H915" s="28" t="n"/>
      <c r="I915" s="28" t="n"/>
      <c r="J915" s="28" t="n"/>
      <c r="K915" s="24">
        <f>IF(D915="","",IFERROR(INDEX(Setup!$B$24:$B$59,MATCH(D915,Setup!$A$24:$A$59,0)),"Check category"))</f>
        <v/>
      </c>
      <c r="L915" s="25">
        <f>IF(A915="","",DATE(YEAR(A915),MONTH(A915),1))</f>
        <v/>
      </c>
      <c r="M915" s="26">
        <f>IF(AND(E915="",F915=""),"",N(E915)-N(F915))</f>
        <v/>
      </c>
      <c r="N915" s="28" t="n"/>
    </row>
    <row r="916">
      <c r="A916" s="27" t="n"/>
      <c r="B916" s="28" t="n"/>
      <c r="C916" s="28" t="n"/>
      <c r="D916" s="28" t="n"/>
      <c r="E916" s="29" t="n"/>
      <c r="F916" s="29" t="n"/>
      <c r="G916" s="28" t="n"/>
      <c r="H916" s="28" t="n"/>
      <c r="I916" s="28" t="n"/>
      <c r="J916" s="28" t="n"/>
      <c r="K916" s="24">
        <f>IF(D916="","",IFERROR(INDEX(Setup!$B$24:$B$59,MATCH(D916,Setup!$A$24:$A$59,0)),"Check category"))</f>
        <v/>
      </c>
      <c r="L916" s="25">
        <f>IF(A916="","",DATE(YEAR(A916),MONTH(A916),1))</f>
        <v/>
      </c>
      <c r="M916" s="26">
        <f>IF(AND(E916="",F916=""),"",N(E916)-N(F916))</f>
        <v/>
      </c>
      <c r="N916" s="28" t="n"/>
    </row>
    <row r="917">
      <c r="A917" s="27" t="n"/>
      <c r="B917" s="28" t="n"/>
      <c r="C917" s="28" t="n"/>
      <c r="D917" s="28" t="n"/>
      <c r="E917" s="29" t="n"/>
      <c r="F917" s="29" t="n"/>
      <c r="G917" s="28" t="n"/>
      <c r="H917" s="28" t="n"/>
      <c r="I917" s="28" t="n"/>
      <c r="J917" s="28" t="n"/>
      <c r="K917" s="24">
        <f>IF(D917="","",IFERROR(INDEX(Setup!$B$24:$B$59,MATCH(D917,Setup!$A$24:$A$59,0)),"Check category"))</f>
        <v/>
      </c>
      <c r="L917" s="25">
        <f>IF(A917="","",DATE(YEAR(A917),MONTH(A917),1))</f>
        <v/>
      </c>
      <c r="M917" s="26">
        <f>IF(AND(E917="",F917=""),"",N(E917)-N(F917))</f>
        <v/>
      </c>
      <c r="N917" s="28" t="n"/>
    </row>
    <row r="918">
      <c r="A918" s="27" t="n"/>
      <c r="B918" s="28" t="n"/>
      <c r="C918" s="28" t="n"/>
      <c r="D918" s="28" t="n"/>
      <c r="E918" s="29" t="n"/>
      <c r="F918" s="29" t="n"/>
      <c r="G918" s="28" t="n"/>
      <c r="H918" s="28" t="n"/>
      <c r="I918" s="28" t="n"/>
      <c r="J918" s="28" t="n"/>
      <c r="K918" s="24">
        <f>IF(D918="","",IFERROR(INDEX(Setup!$B$24:$B$59,MATCH(D918,Setup!$A$24:$A$59,0)),"Check category"))</f>
        <v/>
      </c>
      <c r="L918" s="25">
        <f>IF(A918="","",DATE(YEAR(A918),MONTH(A918),1))</f>
        <v/>
      </c>
      <c r="M918" s="26">
        <f>IF(AND(E918="",F918=""),"",N(E918)-N(F918))</f>
        <v/>
      </c>
      <c r="N918" s="28" t="n"/>
    </row>
    <row r="919">
      <c r="A919" s="27" t="n"/>
      <c r="B919" s="28" t="n"/>
      <c r="C919" s="28" t="n"/>
      <c r="D919" s="28" t="n"/>
      <c r="E919" s="29" t="n"/>
      <c r="F919" s="29" t="n"/>
      <c r="G919" s="28" t="n"/>
      <c r="H919" s="28" t="n"/>
      <c r="I919" s="28" t="n"/>
      <c r="J919" s="28" t="n"/>
      <c r="K919" s="24">
        <f>IF(D919="","",IFERROR(INDEX(Setup!$B$24:$B$59,MATCH(D919,Setup!$A$24:$A$59,0)),"Check category"))</f>
        <v/>
      </c>
      <c r="L919" s="25">
        <f>IF(A919="","",DATE(YEAR(A919),MONTH(A919),1))</f>
        <v/>
      </c>
      <c r="M919" s="26">
        <f>IF(AND(E919="",F919=""),"",N(E919)-N(F919))</f>
        <v/>
      </c>
      <c r="N919" s="28" t="n"/>
    </row>
    <row r="920">
      <c r="A920" s="27" t="n"/>
      <c r="B920" s="28" t="n"/>
      <c r="C920" s="28" t="n"/>
      <c r="D920" s="28" t="n"/>
      <c r="E920" s="29" t="n"/>
      <c r="F920" s="29" t="n"/>
      <c r="G920" s="28" t="n"/>
      <c r="H920" s="28" t="n"/>
      <c r="I920" s="28" t="n"/>
      <c r="J920" s="28" t="n"/>
      <c r="K920" s="24">
        <f>IF(D920="","",IFERROR(INDEX(Setup!$B$24:$B$59,MATCH(D920,Setup!$A$24:$A$59,0)),"Check category"))</f>
        <v/>
      </c>
      <c r="L920" s="25">
        <f>IF(A920="","",DATE(YEAR(A920),MONTH(A920),1))</f>
        <v/>
      </c>
      <c r="M920" s="26">
        <f>IF(AND(E920="",F920=""),"",N(E920)-N(F920))</f>
        <v/>
      </c>
      <c r="N920" s="28" t="n"/>
    </row>
    <row r="921">
      <c r="A921" s="27" t="n"/>
      <c r="B921" s="28" t="n"/>
      <c r="C921" s="28" t="n"/>
      <c r="D921" s="28" t="n"/>
      <c r="E921" s="29" t="n"/>
      <c r="F921" s="29" t="n"/>
      <c r="G921" s="28" t="n"/>
      <c r="H921" s="28" t="n"/>
      <c r="I921" s="28" t="n"/>
      <c r="J921" s="28" t="n"/>
      <c r="K921" s="24">
        <f>IF(D921="","",IFERROR(INDEX(Setup!$B$24:$B$59,MATCH(D921,Setup!$A$24:$A$59,0)),"Check category"))</f>
        <v/>
      </c>
      <c r="L921" s="25">
        <f>IF(A921="","",DATE(YEAR(A921),MONTH(A921),1))</f>
        <v/>
      </c>
      <c r="M921" s="26">
        <f>IF(AND(E921="",F921=""),"",N(E921)-N(F921))</f>
        <v/>
      </c>
      <c r="N921" s="28" t="n"/>
    </row>
    <row r="922">
      <c r="A922" s="27" t="n"/>
      <c r="B922" s="28" t="n"/>
      <c r="C922" s="28" t="n"/>
      <c r="D922" s="28" t="n"/>
      <c r="E922" s="29" t="n"/>
      <c r="F922" s="29" t="n"/>
      <c r="G922" s="28" t="n"/>
      <c r="H922" s="28" t="n"/>
      <c r="I922" s="28" t="n"/>
      <c r="J922" s="28" t="n"/>
      <c r="K922" s="24">
        <f>IF(D922="","",IFERROR(INDEX(Setup!$B$24:$B$59,MATCH(D922,Setup!$A$24:$A$59,0)),"Check category"))</f>
        <v/>
      </c>
      <c r="L922" s="25">
        <f>IF(A922="","",DATE(YEAR(A922),MONTH(A922),1))</f>
        <v/>
      </c>
      <c r="M922" s="26">
        <f>IF(AND(E922="",F922=""),"",N(E922)-N(F922))</f>
        <v/>
      </c>
      <c r="N922" s="28" t="n"/>
    </row>
    <row r="923">
      <c r="A923" s="27" t="n"/>
      <c r="B923" s="28" t="n"/>
      <c r="C923" s="28" t="n"/>
      <c r="D923" s="28" t="n"/>
      <c r="E923" s="29" t="n"/>
      <c r="F923" s="29" t="n"/>
      <c r="G923" s="28" t="n"/>
      <c r="H923" s="28" t="n"/>
      <c r="I923" s="28" t="n"/>
      <c r="J923" s="28" t="n"/>
      <c r="K923" s="24">
        <f>IF(D923="","",IFERROR(INDEX(Setup!$B$24:$B$59,MATCH(D923,Setup!$A$24:$A$59,0)),"Check category"))</f>
        <v/>
      </c>
      <c r="L923" s="25">
        <f>IF(A923="","",DATE(YEAR(A923),MONTH(A923),1))</f>
        <v/>
      </c>
      <c r="M923" s="26">
        <f>IF(AND(E923="",F923=""),"",N(E923)-N(F923))</f>
        <v/>
      </c>
      <c r="N923" s="28" t="n"/>
    </row>
    <row r="924">
      <c r="A924" s="27" t="n"/>
      <c r="B924" s="28" t="n"/>
      <c r="C924" s="28" t="n"/>
      <c r="D924" s="28" t="n"/>
      <c r="E924" s="29" t="n"/>
      <c r="F924" s="29" t="n"/>
      <c r="G924" s="28" t="n"/>
      <c r="H924" s="28" t="n"/>
      <c r="I924" s="28" t="n"/>
      <c r="J924" s="28" t="n"/>
      <c r="K924" s="24">
        <f>IF(D924="","",IFERROR(INDEX(Setup!$B$24:$B$59,MATCH(D924,Setup!$A$24:$A$59,0)),"Check category"))</f>
        <v/>
      </c>
      <c r="L924" s="25">
        <f>IF(A924="","",DATE(YEAR(A924),MONTH(A924),1))</f>
        <v/>
      </c>
      <c r="M924" s="26">
        <f>IF(AND(E924="",F924=""),"",N(E924)-N(F924))</f>
        <v/>
      </c>
      <c r="N924" s="28" t="n"/>
    </row>
    <row r="925">
      <c r="A925" s="27" t="n"/>
      <c r="B925" s="28" t="n"/>
      <c r="C925" s="28" t="n"/>
      <c r="D925" s="28" t="n"/>
      <c r="E925" s="29" t="n"/>
      <c r="F925" s="29" t="n"/>
      <c r="G925" s="28" t="n"/>
      <c r="H925" s="28" t="n"/>
      <c r="I925" s="28" t="n"/>
      <c r="J925" s="28" t="n"/>
      <c r="K925" s="24">
        <f>IF(D925="","",IFERROR(INDEX(Setup!$B$24:$B$59,MATCH(D925,Setup!$A$24:$A$59,0)),"Check category"))</f>
        <v/>
      </c>
      <c r="L925" s="25">
        <f>IF(A925="","",DATE(YEAR(A925),MONTH(A925),1))</f>
        <v/>
      </c>
      <c r="M925" s="26">
        <f>IF(AND(E925="",F925=""),"",N(E925)-N(F925))</f>
        <v/>
      </c>
      <c r="N925" s="28" t="n"/>
    </row>
    <row r="926">
      <c r="A926" s="27" t="n"/>
      <c r="B926" s="28" t="n"/>
      <c r="C926" s="28" t="n"/>
      <c r="D926" s="28" t="n"/>
      <c r="E926" s="29" t="n"/>
      <c r="F926" s="29" t="n"/>
      <c r="G926" s="28" t="n"/>
      <c r="H926" s="28" t="n"/>
      <c r="I926" s="28" t="n"/>
      <c r="J926" s="28" t="n"/>
      <c r="K926" s="24">
        <f>IF(D926="","",IFERROR(INDEX(Setup!$B$24:$B$59,MATCH(D926,Setup!$A$24:$A$59,0)),"Check category"))</f>
        <v/>
      </c>
      <c r="L926" s="25">
        <f>IF(A926="","",DATE(YEAR(A926),MONTH(A926),1))</f>
        <v/>
      </c>
      <c r="M926" s="26">
        <f>IF(AND(E926="",F926=""),"",N(E926)-N(F926))</f>
        <v/>
      </c>
      <c r="N926" s="28" t="n"/>
    </row>
    <row r="927">
      <c r="A927" s="27" t="n"/>
      <c r="B927" s="28" t="n"/>
      <c r="C927" s="28" t="n"/>
      <c r="D927" s="28" t="n"/>
      <c r="E927" s="29" t="n"/>
      <c r="F927" s="29" t="n"/>
      <c r="G927" s="28" t="n"/>
      <c r="H927" s="28" t="n"/>
      <c r="I927" s="28" t="n"/>
      <c r="J927" s="28" t="n"/>
      <c r="K927" s="24">
        <f>IF(D927="","",IFERROR(INDEX(Setup!$B$24:$B$59,MATCH(D927,Setup!$A$24:$A$59,0)),"Check category"))</f>
        <v/>
      </c>
      <c r="L927" s="25">
        <f>IF(A927="","",DATE(YEAR(A927),MONTH(A927),1))</f>
        <v/>
      </c>
      <c r="M927" s="26">
        <f>IF(AND(E927="",F927=""),"",N(E927)-N(F927))</f>
        <v/>
      </c>
      <c r="N927" s="28" t="n"/>
    </row>
    <row r="928">
      <c r="A928" s="27" t="n"/>
      <c r="B928" s="28" t="n"/>
      <c r="C928" s="28" t="n"/>
      <c r="D928" s="28" t="n"/>
      <c r="E928" s="29" t="n"/>
      <c r="F928" s="29" t="n"/>
      <c r="G928" s="28" t="n"/>
      <c r="H928" s="28" t="n"/>
      <c r="I928" s="28" t="n"/>
      <c r="J928" s="28" t="n"/>
      <c r="K928" s="24">
        <f>IF(D928="","",IFERROR(INDEX(Setup!$B$24:$B$59,MATCH(D928,Setup!$A$24:$A$59,0)),"Check category"))</f>
        <v/>
      </c>
      <c r="L928" s="25">
        <f>IF(A928="","",DATE(YEAR(A928),MONTH(A928),1))</f>
        <v/>
      </c>
      <c r="M928" s="26">
        <f>IF(AND(E928="",F928=""),"",N(E928)-N(F928))</f>
        <v/>
      </c>
      <c r="N928" s="28" t="n"/>
    </row>
    <row r="929">
      <c r="A929" s="27" t="n"/>
      <c r="B929" s="28" t="n"/>
      <c r="C929" s="28" t="n"/>
      <c r="D929" s="28" t="n"/>
      <c r="E929" s="29" t="n"/>
      <c r="F929" s="29" t="n"/>
      <c r="G929" s="28" t="n"/>
      <c r="H929" s="28" t="n"/>
      <c r="I929" s="28" t="n"/>
      <c r="J929" s="28" t="n"/>
      <c r="K929" s="24">
        <f>IF(D929="","",IFERROR(INDEX(Setup!$B$24:$B$59,MATCH(D929,Setup!$A$24:$A$59,0)),"Check category"))</f>
        <v/>
      </c>
      <c r="L929" s="25">
        <f>IF(A929="","",DATE(YEAR(A929),MONTH(A929),1))</f>
        <v/>
      </c>
      <c r="M929" s="26">
        <f>IF(AND(E929="",F929=""),"",N(E929)-N(F929))</f>
        <v/>
      </c>
      <c r="N929" s="28" t="n"/>
    </row>
    <row r="930">
      <c r="A930" s="27" t="n"/>
      <c r="B930" s="28" t="n"/>
      <c r="C930" s="28" t="n"/>
      <c r="D930" s="28" t="n"/>
      <c r="E930" s="29" t="n"/>
      <c r="F930" s="29" t="n"/>
      <c r="G930" s="28" t="n"/>
      <c r="H930" s="28" t="n"/>
      <c r="I930" s="28" t="n"/>
      <c r="J930" s="28" t="n"/>
      <c r="K930" s="24">
        <f>IF(D930="","",IFERROR(INDEX(Setup!$B$24:$B$59,MATCH(D930,Setup!$A$24:$A$59,0)),"Check category"))</f>
        <v/>
      </c>
      <c r="L930" s="25">
        <f>IF(A930="","",DATE(YEAR(A930),MONTH(A930),1))</f>
        <v/>
      </c>
      <c r="M930" s="26">
        <f>IF(AND(E930="",F930=""),"",N(E930)-N(F930))</f>
        <v/>
      </c>
      <c r="N930" s="28" t="n"/>
    </row>
    <row r="931">
      <c r="A931" s="27" t="n"/>
      <c r="B931" s="28" t="n"/>
      <c r="C931" s="28" t="n"/>
      <c r="D931" s="28" t="n"/>
      <c r="E931" s="29" t="n"/>
      <c r="F931" s="29" t="n"/>
      <c r="G931" s="28" t="n"/>
      <c r="H931" s="28" t="n"/>
      <c r="I931" s="28" t="n"/>
      <c r="J931" s="28" t="n"/>
      <c r="K931" s="24">
        <f>IF(D931="","",IFERROR(INDEX(Setup!$B$24:$B$59,MATCH(D931,Setup!$A$24:$A$59,0)),"Check category"))</f>
        <v/>
      </c>
      <c r="L931" s="25">
        <f>IF(A931="","",DATE(YEAR(A931),MONTH(A931),1))</f>
        <v/>
      </c>
      <c r="M931" s="26">
        <f>IF(AND(E931="",F931=""),"",N(E931)-N(F931))</f>
        <v/>
      </c>
      <c r="N931" s="28" t="n"/>
    </row>
    <row r="932">
      <c r="A932" s="27" t="n"/>
      <c r="B932" s="28" t="n"/>
      <c r="C932" s="28" t="n"/>
      <c r="D932" s="28" t="n"/>
      <c r="E932" s="29" t="n"/>
      <c r="F932" s="29" t="n"/>
      <c r="G932" s="28" t="n"/>
      <c r="H932" s="28" t="n"/>
      <c r="I932" s="28" t="n"/>
      <c r="J932" s="28" t="n"/>
      <c r="K932" s="24">
        <f>IF(D932="","",IFERROR(INDEX(Setup!$B$24:$B$59,MATCH(D932,Setup!$A$24:$A$59,0)),"Check category"))</f>
        <v/>
      </c>
      <c r="L932" s="25">
        <f>IF(A932="","",DATE(YEAR(A932),MONTH(A932),1))</f>
        <v/>
      </c>
      <c r="M932" s="26">
        <f>IF(AND(E932="",F932=""),"",N(E932)-N(F932))</f>
        <v/>
      </c>
      <c r="N932" s="28" t="n"/>
    </row>
    <row r="933">
      <c r="A933" s="27" t="n"/>
      <c r="B933" s="28" t="n"/>
      <c r="C933" s="28" t="n"/>
      <c r="D933" s="28" t="n"/>
      <c r="E933" s="29" t="n"/>
      <c r="F933" s="29" t="n"/>
      <c r="G933" s="28" t="n"/>
      <c r="H933" s="28" t="n"/>
      <c r="I933" s="28" t="n"/>
      <c r="J933" s="28" t="n"/>
      <c r="K933" s="24">
        <f>IF(D933="","",IFERROR(INDEX(Setup!$B$24:$B$59,MATCH(D933,Setup!$A$24:$A$59,0)),"Check category"))</f>
        <v/>
      </c>
      <c r="L933" s="25">
        <f>IF(A933="","",DATE(YEAR(A933),MONTH(A933),1))</f>
        <v/>
      </c>
      <c r="M933" s="26">
        <f>IF(AND(E933="",F933=""),"",N(E933)-N(F933))</f>
        <v/>
      </c>
      <c r="N933" s="28" t="n"/>
    </row>
    <row r="934">
      <c r="A934" s="27" t="n"/>
      <c r="B934" s="28" t="n"/>
      <c r="C934" s="28" t="n"/>
      <c r="D934" s="28" t="n"/>
      <c r="E934" s="29" t="n"/>
      <c r="F934" s="29" t="n"/>
      <c r="G934" s="28" t="n"/>
      <c r="H934" s="28" t="n"/>
      <c r="I934" s="28" t="n"/>
      <c r="J934" s="28" t="n"/>
      <c r="K934" s="24">
        <f>IF(D934="","",IFERROR(INDEX(Setup!$B$24:$B$59,MATCH(D934,Setup!$A$24:$A$59,0)),"Check category"))</f>
        <v/>
      </c>
      <c r="L934" s="25">
        <f>IF(A934="","",DATE(YEAR(A934),MONTH(A934),1))</f>
        <v/>
      </c>
      <c r="M934" s="26">
        <f>IF(AND(E934="",F934=""),"",N(E934)-N(F934))</f>
        <v/>
      </c>
      <c r="N934" s="28" t="n"/>
    </row>
    <row r="935">
      <c r="A935" s="27" t="n"/>
      <c r="B935" s="28" t="n"/>
      <c r="C935" s="28" t="n"/>
      <c r="D935" s="28" t="n"/>
      <c r="E935" s="29" t="n"/>
      <c r="F935" s="29" t="n"/>
      <c r="G935" s="28" t="n"/>
      <c r="H935" s="28" t="n"/>
      <c r="I935" s="28" t="n"/>
      <c r="J935" s="28" t="n"/>
      <c r="K935" s="24">
        <f>IF(D935="","",IFERROR(INDEX(Setup!$B$24:$B$59,MATCH(D935,Setup!$A$24:$A$59,0)),"Check category"))</f>
        <v/>
      </c>
      <c r="L935" s="25">
        <f>IF(A935="","",DATE(YEAR(A935),MONTH(A935),1))</f>
        <v/>
      </c>
      <c r="M935" s="26">
        <f>IF(AND(E935="",F935=""),"",N(E935)-N(F935))</f>
        <v/>
      </c>
      <c r="N935" s="28" t="n"/>
    </row>
    <row r="936">
      <c r="A936" s="27" t="n"/>
      <c r="B936" s="28" t="n"/>
      <c r="C936" s="28" t="n"/>
      <c r="D936" s="28" t="n"/>
      <c r="E936" s="29" t="n"/>
      <c r="F936" s="29" t="n"/>
      <c r="G936" s="28" t="n"/>
      <c r="H936" s="28" t="n"/>
      <c r="I936" s="28" t="n"/>
      <c r="J936" s="28" t="n"/>
      <c r="K936" s="24">
        <f>IF(D936="","",IFERROR(INDEX(Setup!$B$24:$B$59,MATCH(D936,Setup!$A$24:$A$59,0)),"Check category"))</f>
        <v/>
      </c>
      <c r="L936" s="25">
        <f>IF(A936="","",DATE(YEAR(A936),MONTH(A936),1))</f>
        <v/>
      </c>
      <c r="M936" s="26">
        <f>IF(AND(E936="",F936=""),"",N(E936)-N(F936))</f>
        <v/>
      </c>
      <c r="N936" s="28" t="n"/>
    </row>
    <row r="937">
      <c r="A937" s="27" t="n"/>
      <c r="B937" s="28" t="n"/>
      <c r="C937" s="28" t="n"/>
      <c r="D937" s="28" t="n"/>
      <c r="E937" s="29" t="n"/>
      <c r="F937" s="29" t="n"/>
      <c r="G937" s="28" t="n"/>
      <c r="H937" s="28" t="n"/>
      <c r="I937" s="28" t="n"/>
      <c r="J937" s="28" t="n"/>
      <c r="K937" s="24">
        <f>IF(D937="","",IFERROR(INDEX(Setup!$B$24:$B$59,MATCH(D937,Setup!$A$24:$A$59,0)),"Check category"))</f>
        <v/>
      </c>
      <c r="L937" s="25">
        <f>IF(A937="","",DATE(YEAR(A937),MONTH(A937),1))</f>
        <v/>
      </c>
      <c r="M937" s="26">
        <f>IF(AND(E937="",F937=""),"",N(E937)-N(F937))</f>
        <v/>
      </c>
      <c r="N937" s="28" t="n"/>
    </row>
    <row r="938">
      <c r="A938" s="27" t="n"/>
      <c r="B938" s="28" t="n"/>
      <c r="C938" s="28" t="n"/>
      <c r="D938" s="28" t="n"/>
      <c r="E938" s="29" t="n"/>
      <c r="F938" s="29" t="n"/>
      <c r="G938" s="28" t="n"/>
      <c r="H938" s="28" t="n"/>
      <c r="I938" s="28" t="n"/>
      <c r="J938" s="28" t="n"/>
      <c r="K938" s="24">
        <f>IF(D938="","",IFERROR(INDEX(Setup!$B$24:$B$59,MATCH(D938,Setup!$A$24:$A$59,0)),"Check category"))</f>
        <v/>
      </c>
      <c r="L938" s="25">
        <f>IF(A938="","",DATE(YEAR(A938),MONTH(A938),1))</f>
        <v/>
      </c>
      <c r="M938" s="26">
        <f>IF(AND(E938="",F938=""),"",N(E938)-N(F938))</f>
        <v/>
      </c>
      <c r="N938" s="28" t="n"/>
    </row>
    <row r="939">
      <c r="A939" s="27" t="n"/>
      <c r="B939" s="28" t="n"/>
      <c r="C939" s="28" t="n"/>
      <c r="D939" s="28" t="n"/>
      <c r="E939" s="29" t="n"/>
      <c r="F939" s="29" t="n"/>
      <c r="G939" s="28" t="n"/>
      <c r="H939" s="28" t="n"/>
      <c r="I939" s="28" t="n"/>
      <c r="J939" s="28" t="n"/>
      <c r="K939" s="24">
        <f>IF(D939="","",IFERROR(INDEX(Setup!$B$24:$B$59,MATCH(D939,Setup!$A$24:$A$59,0)),"Check category"))</f>
        <v/>
      </c>
      <c r="L939" s="25">
        <f>IF(A939="","",DATE(YEAR(A939),MONTH(A939),1))</f>
        <v/>
      </c>
      <c r="M939" s="26">
        <f>IF(AND(E939="",F939=""),"",N(E939)-N(F939))</f>
        <v/>
      </c>
      <c r="N939" s="28" t="n"/>
    </row>
    <row r="940">
      <c r="A940" s="27" t="n"/>
      <c r="B940" s="28" t="n"/>
      <c r="C940" s="28" t="n"/>
      <c r="D940" s="28" t="n"/>
      <c r="E940" s="29" t="n"/>
      <c r="F940" s="29" t="n"/>
      <c r="G940" s="28" t="n"/>
      <c r="H940" s="28" t="n"/>
      <c r="I940" s="28" t="n"/>
      <c r="J940" s="28" t="n"/>
      <c r="K940" s="24">
        <f>IF(D940="","",IFERROR(INDEX(Setup!$B$24:$B$59,MATCH(D940,Setup!$A$24:$A$59,0)),"Check category"))</f>
        <v/>
      </c>
      <c r="L940" s="25">
        <f>IF(A940="","",DATE(YEAR(A940),MONTH(A940),1))</f>
        <v/>
      </c>
      <c r="M940" s="26">
        <f>IF(AND(E940="",F940=""),"",N(E940)-N(F940))</f>
        <v/>
      </c>
      <c r="N940" s="28" t="n"/>
    </row>
    <row r="941">
      <c r="A941" s="27" t="n"/>
      <c r="B941" s="28" t="n"/>
      <c r="C941" s="28" t="n"/>
      <c r="D941" s="28" t="n"/>
      <c r="E941" s="29" t="n"/>
      <c r="F941" s="29" t="n"/>
      <c r="G941" s="28" t="n"/>
      <c r="H941" s="28" t="n"/>
      <c r="I941" s="28" t="n"/>
      <c r="J941" s="28" t="n"/>
      <c r="K941" s="24">
        <f>IF(D941="","",IFERROR(INDEX(Setup!$B$24:$B$59,MATCH(D941,Setup!$A$24:$A$59,0)),"Check category"))</f>
        <v/>
      </c>
      <c r="L941" s="25">
        <f>IF(A941="","",DATE(YEAR(A941),MONTH(A941),1))</f>
        <v/>
      </c>
      <c r="M941" s="26">
        <f>IF(AND(E941="",F941=""),"",N(E941)-N(F941))</f>
        <v/>
      </c>
      <c r="N941" s="28" t="n"/>
    </row>
    <row r="942">
      <c r="A942" s="27" t="n"/>
      <c r="B942" s="28" t="n"/>
      <c r="C942" s="28" t="n"/>
      <c r="D942" s="28" t="n"/>
      <c r="E942" s="29" t="n"/>
      <c r="F942" s="29" t="n"/>
      <c r="G942" s="28" t="n"/>
      <c r="H942" s="28" t="n"/>
      <c r="I942" s="28" t="n"/>
      <c r="J942" s="28" t="n"/>
      <c r="K942" s="24">
        <f>IF(D942="","",IFERROR(INDEX(Setup!$B$24:$B$59,MATCH(D942,Setup!$A$24:$A$59,0)),"Check category"))</f>
        <v/>
      </c>
      <c r="L942" s="25">
        <f>IF(A942="","",DATE(YEAR(A942),MONTH(A942),1))</f>
        <v/>
      </c>
      <c r="M942" s="26">
        <f>IF(AND(E942="",F942=""),"",N(E942)-N(F942))</f>
        <v/>
      </c>
      <c r="N942" s="28" t="n"/>
    </row>
    <row r="943">
      <c r="A943" s="27" t="n"/>
      <c r="B943" s="28" t="n"/>
      <c r="C943" s="28" t="n"/>
      <c r="D943" s="28" t="n"/>
      <c r="E943" s="29" t="n"/>
      <c r="F943" s="29" t="n"/>
      <c r="G943" s="28" t="n"/>
      <c r="H943" s="28" t="n"/>
      <c r="I943" s="28" t="n"/>
      <c r="J943" s="28" t="n"/>
      <c r="K943" s="24">
        <f>IF(D943="","",IFERROR(INDEX(Setup!$B$24:$B$59,MATCH(D943,Setup!$A$24:$A$59,0)),"Check category"))</f>
        <v/>
      </c>
      <c r="L943" s="25">
        <f>IF(A943="","",DATE(YEAR(A943),MONTH(A943),1))</f>
        <v/>
      </c>
      <c r="M943" s="26">
        <f>IF(AND(E943="",F943=""),"",N(E943)-N(F943))</f>
        <v/>
      </c>
      <c r="N943" s="28" t="n"/>
    </row>
    <row r="944">
      <c r="A944" s="27" t="n"/>
      <c r="B944" s="28" t="n"/>
      <c r="C944" s="28" t="n"/>
      <c r="D944" s="28" t="n"/>
      <c r="E944" s="29" t="n"/>
      <c r="F944" s="29" t="n"/>
      <c r="G944" s="28" t="n"/>
      <c r="H944" s="28" t="n"/>
      <c r="I944" s="28" t="n"/>
      <c r="J944" s="28" t="n"/>
      <c r="K944" s="24">
        <f>IF(D944="","",IFERROR(INDEX(Setup!$B$24:$B$59,MATCH(D944,Setup!$A$24:$A$59,0)),"Check category"))</f>
        <v/>
      </c>
      <c r="L944" s="25">
        <f>IF(A944="","",DATE(YEAR(A944),MONTH(A944),1))</f>
        <v/>
      </c>
      <c r="M944" s="26">
        <f>IF(AND(E944="",F944=""),"",N(E944)-N(F944))</f>
        <v/>
      </c>
      <c r="N944" s="28" t="n"/>
    </row>
    <row r="945">
      <c r="A945" s="27" t="n"/>
      <c r="B945" s="28" t="n"/>
      <c r="C945" s="28" t="n"/>
      <c r="D945" s="28" t="n"/>
      <c r="E945" s="29" t="n"/>
      <c r="F945" s="29" t="n"/>
      <c r="G945" s="28" t="n"/>
      <c r="H945" s="28" t="n"/>
      <c r="I945" s="28" t="n"/>
      <c r="J945" s="28" t="n"/>
      <c r="K945" s="24">
        <f>IF(D945="","",IFERROR(INDEX(Setup!$B$24:$B$59,MATCH(D945,Setup!$A$24:$A$59,0)),"Check category"))</f>
        <v/>
      </c>
      <c r="L945" s="25">
        <f>IF(A945="","",DATE(YEAR(A945),MONTH(A945),1))</f>
        <v/>
      </c>
      <c r="M945" s="26">
        <f>IF(AND(E945="",F945=""),"",N(E945)-N(F945))</f>
        <v/>
      </c>
      <c r="N945" s="28" t="n"/>
    </row>
    <row r="946">
      <c r="A946" s="27" t="n"/>
      <c r="B946" s="28" t="n"/>
      <c r="C946" s="28" t="n"/>
      <c r="D946" s="28" t="n"/>
      <c r="E946" s="29" t="n"/>
      <c r="F946" s="29" t="n"/>
      <c r="G946" s="28" t="n"/>
      <c r="H946" s="28" t="n"/>
      <c r="I946" s="28" t="n"/>
      <c r="J946" s="28" t="n"/>
      <c r="K946" s="24">
        <f>IF(D946="","",IFERROR(INDEX(Setup!$B$24:$B$59,MATCH(D946,Setup!$A$24:$A$59,0)),"Check category"))</f>
        <v/>
      </c>
      <c r="L946" s="25">
        <f>IF(A946="","",DATE(YEAR(A946),MONTH(A946),1))</f>
        <v/>
      </c>
      <c r="M946" s="26">
        <f>IF(AND(E946="",F946=""),"",N(E946)-N(F946))</f>
        <v/>
      </c>
      <c r="N946" s="28" t="n"/>
    </row>
    <row r="947">
      <c r="A947" s="27" t="n"/>
      <c r="B947" s="28" t="n"/>
      <c r="C947" s="28" t="n"/>
      <c r="D947" s="28" t="n"/>
      <c r="E947" s="29" t="n"/>
      <c r="F947" s="29" t="n"/>
      <c r="G947" s="28" t="n"/>
      <c r="H947" s="28" t="n"/>
      <c r="I947" s="28" t="n"/>
      <c r="J947" s="28" t="n"/>
      <c r="K947" s="24">
        <f>IF(D947="","",IFERROR(INDEX(Setup!$B$24:$B$59,MATCH(D947,Setup!$A$24:$A$59,0)),"Check category"))</f>
        <v/>
      </c>
      <c r="L947" s="25">
        <f>IF(A947="","",DATE(YEAR(A947),MONTH(A947),1))</f>
        <v/>
      </c>
      <c r="M947" s="26">
        <f>IF(AND(E947="",F947=""),"",N(E947)-N(F947))</f>
        <v/>
      </c>
      <c r="N947" s="28" t="n"/>
    </row>
    <row r="948">
      <c r="A948" s="27" t="n"/>
      <c r="B948" s="28" t="n"/>
      <c r="C948" s="28" t="n"/>
      <c r="D948" s="28" t="n"/>
      <c r="E948" s="29" t="n"/>
      <c r="F948" s="29" t="n"/>
      <c r="G948" s="28" t="n"/>
      <c r="H948" s="28" t="n"/>
      <c r="I948" s="28" t="n"/>
      <c r="J948" s="28" t="n"/>
      <c r="K948" s="24">
        <f>IF(D948="","",IFERROR(INDEX(Setup!$B$24:$B$59,MATCH(D948,Setup!$A$24:$A$59,0)),"Check category"))</f>
        <v/>
      </c>
      <c r="L948" s="25">
        <f>IF(A948="","",DATE(YEAR(A948),MONTH(A948),1))</f>
        <v/>
      </c>
      <c r="M948" s="26">
        <f>IF(AND(E948="",F948=""),"",N(E948)-N(F948))</f>
        <v/>
      </c>
      <c r="N948" s="28" t="n"/>
    </row>
    <row r="949">
      <c r="A949" s="27" t="n"/>
      <c r="B949" s="28" t="n"/>
      <c r="C949" s="28" t="n"/>
      <c r="D949" s="28" t="n"/>
      <c r="E949" s="29" t="n"/>
      <c r="F949" s="29" t="n"/>
      <c r="G949" s="28" t="n"/>
      <c r="H949" s="28" t="n"/>
      <c r="I949" s="28" t="n"/>
      <c r="J949" s="28" t="n"/>
      <c r="K949" s="24">
        <f>IF(D949="","",IFERROR(INDEX(Setup!$B$24:$B$59,MATCH(D949,Setup!$A$24:$A$59,0)),"Check category"))</f>
        <v/>
      </c>
      <c r="L949" s="25">
        <f>IF(A949="","",DATE(YEAR(A949),MONTH(A949),1))</f>
        <v/>
      </c>
      <c r="M949" s="26">
        <f>IF(AND(E949="",F949=""),"",N(E949)-N(F949))</f>
        <v/>
      </c>
      <c r="N949" s="28" t="n"/>
    </row>
    <row r="950">
      <c r="A950" s="27" t="n"/>
      <c r="B950" s="28" t="n"/>
      <c r="C950" s="28" t="n"/>
      <c r="D950" s="28" t="n"/>
      <c r="E950" s="29" t="n"/>
      <c r="F950" s="29" t="n"/>
      <c r="G950" s="28" t="n"/>
      <c r="H950" s="28" t="n"/>
      <c r="I950" s="28" t="n"/>
      <c r="J950" s="28" t="n"/>
      <c r="K950" s="24">
        <f>IF(D950="","",IFERROR(INDEX(Setup!$B$24:$B$59,MATCH(D950,Setup!$A$24:$A$59,0)),"Check category"))</f>
        <v/>
      </c>
      <c r="L950" s="25">
        <f>IF(A950="","",DATE(YEAR(A950),MONTH(A950),1))</f>
        <v/>
      </c>
      <c r="M950" s="26">
        <f>IF(AND(E950="",F950=""),"",N(E950)-N(F950))</f>
        <v/>
      </c>
      <c r="N950" s="28" t="n"/>
    </row>
    <row r="951">
      <c r="A951" s="27" t="n"/>
      <c r="B951" s="28" t="n"/>
      <c r="C951" s="28" t="n"/>
      <c r="D951" s="28" t="n"/>
      <c r="E951" s="29" t="n"/>
      <c r="F951" s="29" t="n"/>
      <c r="G951" s="28" t="n"/>
      <c r="H951" s="28" t="n"/>
      <c r="I951" s="28" t="n"/>
      <c r="J951" s="28" t="n"/>
      <c r="K951" s="24">
        <f>IF(D951="","",IFERROR(INDEX(Setup!$B$24:$B$59,MATCH(D951,Setup!$A$24:$A$59,0)),"Check category"))</f>
        <v/>
      </c>
      <c r="L951" s="25">
        <f>IF(A951="","",DATE(YEAR(A951),MONTH(A951),1))</f>
        <v/>
      </c>
      <c r="M951" s="26">
        <f>IF(AND(E951="",F951=""),"",N(E951)-N(F951))</f>
        <v/>
      </c>
      <c r="N951" s="28" t="n"/>
    </row>
    <row r="952">
      <c r="A952" s="27" t="n"/>
      <c r="B952" s="28" t="n"/>
      <c r="C952" s="28" t="n"/>
      <c r="D952" s="28" t="n"/>
      <c r="E952" s="29" t="n"/>
      <c r="F952" s="29" t="n"/>
      <c r="G952" s="28" t="n"/>
      <c r="H952" s="28" t="n"/>
      <c r="I952" s="28" t="n"/>
      <c r="J952" s="28" t="n"/>
      <c r="K952" s="24">
        <f>IF(D952="","",IFERROR(INDEX(Setup!$B$24:$B$59,MATCH(D952,Setup!$A$24:$A$59,0)),"Check category"))</f>
        <v/>
      </c>
      <c r="L952" s="25">
        <f>IF(A952="","",DATE(YEAR(A952),MONTH(A952),1))</f>
        <v/>
      </c>
      <c r="M952" s="26">
        <f>IF(AND(E952="",F952=""),"",N(E952)-N(F952))</f>
        <v/>
      </c>
      <c r="N952" s="28" t="n"/>
    </row>
    <row r="953">
      <c r="A953" s="27" t="n"/>
      <c r="B953" s="28" t="n"/>
      <c r="C953" s="28" t="n"/>
      <c r="D953" s="28" t="n"/>
      <c r="E953" s="29" t="n"/>
      <c r="F953" s="29" t="n"/>
      <c r="G953" s="28" t="n"/>
      <c r="H953" s="28" t="n"/>
      <c r="I953" s="28" t="n"/>
      <c r="J953" s="28" t="n"/>
      <c r="K953" s="24">
        <f>IF(D953="","",IFERROR(INDEX(Setup!$B$24:$B$59,MATCH(D953,Setup!$A$24:$A$59,0)),"Check category"))</f>
        <v/>
      </c>
      <c r="L953" s="25">
        <f>IF(A953="","",DATE(YEAR(A953),MONTH(A953),1))</f>
        <v/>
      </c>
      <c r="M953" s="26">
        <f>IF(AND(E953="",F953=""),"",N(E953)-N(F953))</f>
        <v/>
      </c>
      <c r="N953" s="28" t="n"/>
    </row>
    <row r="954">
      <c r="A954" s="27" t="n"/>
      <c r="B954" s="28" t="n"/>
      <c r="C954" s="28" t="n"/>
      <c r="D954" s="28" t="n"/>
      <c r="E954" s="29" t="n"/>
      <c r="F954" s="29" t="n"/>
      <c r="G954" s="28" t="n"/>
      <c r="H954" s="28" t="n"/>
      <c r="I954" s="28" t="n"/>
      <c r="J954" s="28" t="n"/>
      <c r="K954" s="24">
        <f>IF(D954="","",IFERROR(INDEX(Setup!$B$24:$B$59,MATCH(D954,Setup!$A$24:$A$59,0)),"Check category"))</f>
        <v/>
      </c>
      <c r="L954" s="25">
        <f>IF(A954="","",DATE(YEAR(A954),MONTH(A954),1))</f>
        <v/>
      </c>
      <c r="M954" s="26">
        <f>IF(AND(E954="",F954=""),"",N(E954)-N(F954))</f>
        <v/>
      </c>
      <c r="N954" s="28" t="n"/>
    </row>
    <row r="955">
      <c r="A955" s="27" t="n"/>
      <c r="B955" s="28" t="n"/>
      <c r="C955" s="28" t="n"/>
      <c r="D955" s="28" t="n"/>
      <c r="E955" s="29" t="n"/>
      <c r="F955" s="29" t="n"/>
      <c r="G955" s="28" t="n"/>
      <c r="H955" s="28" t="n"/>
      <c r="I955" s="28" t="n"/>
      <c r="J955" s="28" t="n"/>
      <c r="K955" s="24">
        <f>IF(D955="","",IFERROR(INDEX(Setup!$B$24:$B$59,MATCH(D955,Setup!$A$24:$A$59,0)),"Check category"))</f>
        <v/>
      </c>
      <c r="L955" s="25">
        <f>IF(A955="","",DATE(YEAR(A955),MONTH(A955),1))</f>
        <v/>
      </c>
      <c r="M955" s="26">
        <f>IF(AND(E955="",F955=""),"",N(E955)-N(F955))</f>
        <v/>
      </c>
      <c r="N955" s="28" t="n"/>
    </row>
    <row r="956">
      <c r="A956" s="27" t="n"/>
      <c r="B956" s="28" t="n"/>
      <c r="C956" s="28" t="n"/>
      <c r="D956" s="28" t="n"/>
      <c r="E956" s="29" t="n"/>
      <c r="F956" s="29" t="n"/>
      <c r="G956" s="28" t="n"/>
      <c r="H956" s="28" t="n"/>
      <c r="I956" s="28" t="n"/>
      <c r="J956" s="28" t="n"/>
      <c r="K956" s="24">
        <f>IF(D956="","",IFERROR(INDEX(Setup!$B$24:$B$59,MATCH(D956,Setup!$A$24:$A$59,0)),"Check category"))</f>
        <v/>
      </c>
      <c r="L956" s="25">
        <f>IF(A956="","",DATE(YEAR(A956),MONTH(A956),1))</f>
        <v/>
      </c>
      <c r="M956" s="26">
        <f>IF(AND(E956="",F956=""),"",N(E956)-N(F956))</f>
        <v/>
      </c>
      <c r="N956" s="28" t="n"/>
    </row>
    <row r="957">
      <c r="A957" s="27" t="n"/>
      <c r="B957" s="28" t="n"/>
      <c r="C957" s="28" t="n"/>
      <c r="D957" s="28" t="n"/>
      <c r="E957" s="29" t="n"/>
      <c r="F957" s="29" t="n"/>
      <c r="G957" s="28" t="n"/>
      <c r="H957" s="28" t="n"/>
      <c r="I957" s="28" t="n"/>
      <c r="J957" s="28" t="n"/>
      <c r="K957" s="24">
        <f>IF(D957="","",IFERROR(INDEX(Setup!$B$24:$B$59,MATCH(D957,Setup!$A$24:$A$59,0)),"Check category"))</f>
        <v/>
      </c>
      <c r="L957" s="25">
        <f>IF(A957="","",DATE(YEAR(A957),MONTH(A957),1))</f>
        <v/>
      </c>
      <c r="M957" s="26">
        <f>IF(AND(E957="",F957=""),"",N(E957)-N(F957))</f>
        <v/>
      </c>
      <c r="N957" s="28" t="n"/>
    </row>
    <row r="958">
      <c r="A958" s="27" t="n"/>
      <c r="B958" s="28" t="n"/>
      <c r="C958" s="28" t="n"/>
      <c r="D958" s="28" t="n"/>
      <c r="E958" s="29" t="n"/>
      <c r="F958" s="29" t="n"/>
      <c r="G958" s="28" t="n"/>
      <c r="H958" s="28" t="n"/>
      <c r="I958" s="28" t="n"/>
      <c r="J958" s="28" t="n"/>
      <c r="K958" s="24">
        <f>IF(D958="","",IFERROR(INDEX(Setup!$B$24:$B$59,MATCH(D958,Setup!$A$24:$A$59,0)),"Check category"))</f>
        <v/>
      </c>
      <c r="L958" s="25">
        <f>IF(A958="","",DATE(YEAR(A958),MONTH(A958),1))</f>
        <v/>
      </c>
      <c r="M958" s="26">
        <f>IF(AND(E958="",F958=""),"",N(E958)-N(F958))</f>
        <v/>
      </c>
      <c r="N958" s="28" t="n"/>
    </row>
    <row r="959">
      <c r="A959" s="27" t="n"/>
      <c r="B959" s="28" t="n"/>
      <c r="C959" s="28" t="n"/>
      <c r="D959" s="28" t="n"/>
      <c r="E959" s="29" t="n"/>
      <c r="F959" s="29" t="n"/>
      <c r="G959" s="28" t="n"/>
      <c r="H959" s="28" t="n"/>
      <c r="I959" s="28" t="n"/>
      <c r="J959" s="28" t="n"/>
      <c r="K959" s="24">
        <f>IF(D959="","",IFERROR(INDEX(Setup!$B$24:$B$59,MATCH(D959,Setup!$A$24:$A$59,0)),"Check category"))</f>
        <v/>
      </c>
      <c r="L959" s="25">
        <f>IF(A959="","",DATE(YEAR(A959),MONTH(A959),1))</f>
        <v/>
      </c>
      <c r="M959" s="26">
        <f>IF(AND(E959="",F959=""),"",N(E959)-N(F959))</f>
        <v/>
      </c>
      <c r="N959" s="28" t="n"/>
    </row>
    <row r="960">
      <c r="A960" s="27" t="n"/>
      <c r="B960" s="28" t="n"/>
      <c r="C960" s="28" t="n"/>
      <c r="D960" s="28" t="n"/>
      <c r="E960" s="29" t="n"/>
      <c r="F960" s="29" t="n"/>
      <c r="G960" s="28" t="n"/>
      <c r="H960" s="28" t="n"/>
      <c r="I960" s="28" t="n"/>
      <c r="J960" s="28" t="n"/>
      <c r="K960" s="24">
        <f>IF(D960="","",IFERROR(INDEX(Setup!$B$24:$B$59,MATCH(D960,Setup!$A$24:$A$59,0)),"Check category"))</f>
        <v/>
      </c>
      <c r="L960" s="25">
        <f>IF(A960="","",DATE(YEAR(A960),MONTH(A960),1))</f>
        <v/>
      </c>
      <c r="M960" s="26">
        <f>IF(AND(E960="",F960=""),"",N(E960)-N(F960))</f>
        <v/>
      </c>
      <c r="N960" s="28" t="n"/>
    </row>
    <row r="961">
      <c r="A961" s="27" t="n"/>
      <c r="B961" s="28" t="n"/>
      <c r="C961" s="28" t="n"/>
      <c r="D961" s="28" t="n"/>
      <c r="E961" s="29" t="n"/>
      <c r="F961" s="29" t="n"/>
      <c r="G961" s="28" t="n"/>
      <c r="H961" s="28" t="n"/>
      <c r="I961" s="28" t="n"/>
      <c r="J961" s="28" t="n"/>
      <c r="K961" s="24">
        <f>IF(D961="","",IFERROR(INDEX(Setup!$B$24:$B$59,MATCH(D961,Setup!$A$24:$A$59,0)),"Check category"))</f>
        <v/>
      </c>
      <c r="L961" s="25">
        <f>IF(A961="","",DATE(YEAR(A961),MONTH(A961),1))</f>
        <v/>
      </c>
      <c r="M961" s="26">
        <f>IF(AND(E961="",F961=""),"",N(E961)-N(F961))</f>
        <v/>
      </c>
      <c r="N961" s="28" t="n"/>
    </row>
    <row r="962">
      <c r="A962" s="27" t="n"/>
      <c r="B962" s="28" t="n"/>
      <c r="C962" s="28" t="n"/>
      <c r="D962" s="28" t="n"/>
      <c r="E962" s="29" t="n"/>
      <c r="F962" s="29" t="n"/>
      <c r="G962" s="28" t="n"/>
      <c r="H962" s="28" t="n"/>
      <c r="I962" s="28" t="n"/>
      <c r="J962" s="28" t="n"/>
      <c r="K962" s="24">
        <f>IF(D962="","",IFERROR(INDEX(Setup!$B$24:$B$59,MATCH(D962,Setup!$A$24:$A$59,0)),"Check category"))</f>
        <v/>
      </c>
      <c r="L962" s="25">
        <f>IF(A962="","",DATE(YEAR(A962),MONTH(A962),1))</f>
        <v/>
      </c>
      <c r="M962" s="26">
        <f>IF(AND(E962="",F962=""),"",N(E962)-N(F962))</f>
        <v/>
      </c>
      <c r="N962" s="28" t="n"/>
    </row>
    <row r="963">
      <c r="A963" s="27" t="n"/>
      <c r="B963" s="28" t="n"/>
      <c r="C963" s="28" t="n"/>
      <c r="D963" s="28" t="n"/>
      <c r="E963" s="29" t="n"/>
      <c r="F963" s="29" t="n"/>
      <c r="G963" s="28" t="n"/>
      <c r="H963" s="28" t="n"/>
      <c r="I963" s="28" t="n"/>
      <c r="J963" s="28" t="n"/>
      <c r="K963" s="24">
        <f>IF(D963="","",IFERROR(INDEX(Setup!$B$24:$B$59,MATCH(D963,Setup!$A$24:$A$59,0)),"Check category"))</f>
        <v/>
      </c>
      <c r="L963" s="25">
        <f>IF(A963="","",DATE(YEAR(A963),MONTH(A963),1))</f>
        <v/>
      </c>
      <c r="M963" s="26">
        <f>IF(AND(E963="",F963=""),"",N(E963)-N(F963))</f>
        <v/>
      </c>
      <c r="N963" s="28" t="n"/>
    </row>
    <row r="964">
      <c r="A964" s="27" t="n"/>
      <c r="B964" s="28" t="n"/>
      <c r="C964" s="28" t="n"/>
      <c r="D964" s="28" t="n"/>
      <c r="E964" s="29" t="n"/>
      <c r="F964" s="29" t="n"/>
      <c r="G964" s="28" t="n"/>
      <c r="H964" s="28" t="n"/>
      <c r="I964" s="28" t="n"/>
      <c r="J964" s="28" t="n"/>
      <c r="K964" s="24">
        <f>IF(D964="","",IFERROR(INDEX(Setup!$B$24:$B$59,MATCH(D964,Setup!$A$24:$A$59,0)),"Check category"))</f>
        <v/>
      </c>
      <c r="L964" s="25">
        <f>IF(A964="","",DATE(YEAR(A964),MONTH(A964),1))</f>
        <v/>
      </c>
      <c r="M964" s="26">
        <f>IF(AND(E964="",F964=""),"",N(E964)-N(F964))</f>
        <v/>
      </c>
      <c r="N964" s="28" t="n"/>
    </row>
    <row r="965">
      <c r="A965" s="27" t="n"/>
      <c r="B965" s="28" t="n"/>
      <c r="C965" s="28" t="n"/>
      <c r="D965" s="28" t="n"/>
      <c r="E965" s="29" t="n"/>
      <c r="F965" s="29" t="n"/>
      <c r="G965" s="28" t="n"/>
      <c r="H965" s="28" t="n"/>
      <c r="I965" s="28" t="n"/>
      <c r="J965" s="28" t="n"/>
      <c r="K965" s="24">
        <f>IF(D965="","",IFERROR(INDEX(Setup!$B$24:$B$59,MATCH(D965,Setup!$A$24:$A$59,0)),"Check category"))</f>
        <v/>
      </c>
      <c r="L965" s="25">
        <f>IF(A965="","",DATE(YEAR(A965),MONTH(A965),1))</f>
        <v/>
      </c>
      <c r="M965" s="26">
        <f>IF(AND(E965="",F965=""),"",N(E965)-N(F965))</f>
        <v/>
      </c>
      <c r="N965" s="28" t="n"/>
    </row>
    <row r="966">
      <c r="A966" s="27" t="n"/>
      <c r="B966" s="28" t="n"/>
      <c r="C966" s="28" t="n"/>
      <c r="D966" s="28" t="n"/>
      <c r="E966" s="29" t="n"/>
      <c r="F966" s="29" t="n"/>
      <c r="G966" s="28" t="n"/>
      <c r="H966" s="28" t="n"/>
      <c r="I966" s="28" t="n"/>
      <c r="J966" s="28" t="n"/>
      <c r="K966" s="24">
        <f>IF(D966="","",IFERROR(INDEX(Setup!$B$24:$B$59,MATCH(D966,Setup!$A$24:$A$59,0)),"Check category"))</f>
        <v/>
      </c>
      <c r="L966" s="25">
        <f>IF(A966="","",DATE(YEAR(A966),MONTH(A966),1))</f>
        <v/>
      </c>
      <c r="M966" s="26">
        <f>IF(AND(E966="",F966=""),"",N(E966)-N(F966))</f>
        <v/>
      </c>
      <c r="N966" s="28" t="n"/>
    </row>
    <row r="967">
      <c r="A967" s="27" t="n"/>
      <c r="B967" s="28" t="n"/>
      <c r="C967" s="28" t="n"/>
      <c r="D967" s="28" t="n"/>
      <c r="E967" s="29" t="n"/>
      <c r="F967" s="29" t="n"/>
      <c r="G967" s="28" t="n"/>
      <c r="H967" s="28" t="n"/>
      <c r="I967" s="28" t="n"/>
      <c r="J967" s="28" t="n"/>
      <c r="K967" s="24">
        <f>IF(D967="","",IFERROR(INDEX(Setup!$B$24:$B$59,MATCH(D967,Setup!$A$24:$A$59,0)),"Check category"))</f>
        <v/>
      </c>
      <c r="L967" s="25">
        <f>IF(A967="","",DATE(YEAR(A967),MONTH(A967),1))</f>
        <v/>
      </c>
      <c r="M967" s="26">
        <f>IF(AND(E967="",F967=""),"",N(E967)-N(F967))</f>
        <v/>
      </c>
      <c r="N967" s="28" t="n"/>
    </row>
    <row r="968">
      <c r="A968" s="27" t="n"/>
      <c r="B968" s="28" t="n"/>
      <c r="C968" s="28" t="n"/>
      <c r="D968" s="28" t="n"/>
      <c r="E968" s="29" t="n"/>
      <c r="F968" s="29" t="n"/>
      <c r="G968" s="28" t="n"/>
      <c r="H968" s="28" t="n"/>
      <c r="I968" s="28" t="n"/>
      <c r="J968" s="28" t="n"/>
      <c r="K968" s="24">
        <f>IF(D968="","",IFERROR(INDEX(Setup!$B$24:$B$59,MATCH(D968,Setup!$A$24:$A$59,0)),"Check category"))</f>
        <v/>
      </c>
      <c r="L968" s="25">
        <f>IF(A968="","",DATE(YEAR(A968),MONTH(A968),1))</f>
        <v/>
      </c>
      <c r="M968" s="26">
        <f>IF(AND(E968="",F968=""),"",N(E968)-N(F968))</f>
        <v/>
      </c>
      <c r="N968" s="28" t="n"/>
    </row>
    <row r="969">
      <c r="A969" s="27" t="n"/>
      <c r="B969" s="28" t="n"/>
      <c r="C969" s="28" t="n"/>
      <c r="D969" s="28" t="n"/>
      <c r="E969" s="29" t="n"/>
      <c r="F969" s="29" t="n"/>
      <c r="G969" s="28" t="n"/>
      <c r="H969" s="28" t="n"/>
      <c r="I969" s="28" t="n"/>
      <c r="J969" s="28" t="n"/>
      <c r="K969" s="24">
        <f>IF(D969="","",IFERROR(INDEX(Setup!$B$24:$B$59,MATCH(D969,Setup!$A$24:$A$59,0)),"Check category"))</f>
        <v/>
      </c>
      <c r="L969" s="25">
        <f>IF(A969="","",DATE(YEAR(A969),MONTH(A969),1))</f>
        <v/>
      </c>
      <c r="M969" s="26">
        <f>IF(AND(E969="",F969=""),"",N(E969)-N(F969))</f>
        <v/>
      </c>
      <c r="N969" s="28" t="n"/>
    </row>
    <row r="970">
      <c r="A970" s="27" t="n"/>
      <c r="B970" s="28" t="n"/>
      <c r="C970" s="28" t="n"/>
      <c r="D970" s="28" t="n"/>
      <c r="E970" s="29" t="n"/>
      <c r="F970" s="29" t="n"/>
      <c r="G970" s="28" t="n"/>
      <c r="H970" s="28" t="n"/>
      <c r="I970" s="28" t="n"/>
      <c r="J970" s="28" t="n"/>
      <c r="K970" s="24">
        <f>IF(D970="","",IFERROR(INDEX(Setup!$B$24:$B$59,MATCH(D970,Setup!$A$24:$A$59,0)),"Check category"))</f>
        <v/>
      </c>
      <c r="L970" s="25">
        <f>IF(A970="","",DATE(YEAR(A970),MONTH(A970),1))</f>
        <v/>
      </c>
      <c r="M970" s="26">
        <f>IF(AND(E970="",F970=""),"",N(E970)-N(F970))</f>
        <v/>
      </c>
      <c r="N970" s="28" t="n"/>
    </row>
    <row r="971">
      <c r="A971" s="27" t="n"/>
      <c r="B971" s="28" t="n"/>
      <c r="C971" s="28" t="n"/>
      <c r="D971" s="28" t="n"/>
      <c r="E971" s="29" t="n"/>
      <c r="F971" s="29" t="n"/>
      <c r="G971" s="28" t="n"/>
      <c r="H971" s="28" t="n"/>
      <c r="I971" s="28" t="n"/>
      <c r="J971" s="28" t="n"/>
      <c r="K971" s="24">
        <f>IF(D971="","",IFERROR(INDEX(Setup!$B$24:$B$59,MATCH(D971,Setup!$A$24:$A$59,0)),"Check category"))</f>
        <v/>
      </c>
      <c r="L971" s="25">
        <f>IF(A971="","",DATE(YEAR(A971),MONTH(A971),1))</f>
        <v/>
      </c>
      <c r="M971" s="26">
        <f>IF(AND(E971="",F971=""),"",N(E971)-N(F971))</f>
        <v/>
      </c>
      <c r="N971" s="28" t="n"/>
    </row>
    <row r="972">
      <c r="A972" s="27" t="n"/>
      <c r="B972" s="28" t="n"/>
      <c r="C972" s="28" t="n"/>
      <c r="D972" s="28" t="n"/>
      <c r="E972" s="29" t="n"/>
      <c r="F972" s="29" t="n"/>
      <c r="G972" s="28" t="n"/>
      <c r="H972" s="28" t="n"/>
      <c r="I972" s="28" t="n"/>
      <c r="J972" s="28" t="n"/>
      <c r="K972" s="24">
        <f>IF(D972="","",IFERROR(INDEX(Setup!$B$24:$B$59,MATCH(D972,Setup!$A$24:$A$59,0)),"Check category"))</f>
        <v/>
      </c>
      <c r="L972" s="25">
        <f>IF(A972="","",DATE(YEAR(A972),MONTH(A972),1))</f>
        <v/>
      </c>
      <c r="M972" s="26">
        <f>IF(AND(E972="",F972=""),"",N(E972)-N(F972))</f>
        <v/>
      </c>
      <c r="N972" s="28" t="n"/>
    </row>
    <row r="973">
      <c r="A973" s="27" t="n"/>
      <c r="B973" s="28" t="n"/>
      <c r="C973" s="28" t="n"/>
      <c r="D973" s="28" t="n"/>
      <c r="E973" s="29" t="n"/>
      <c r="F973" s="29" t="n"/>
      <c r="G973" s="28" t="n"/>
      <c r="H973" s="28" t="n"/>
      <c r="I973" s="28" t="n"/>
      <c r="J973" s="28" t="n"/>
      <c r="K973" s="24">
        <f>IF(D973="","",IFERROR(INDEX(Setup!$B$24:$B$59,MATCH(D973,Setup!$A$24:$A$59,0)),"Check category"))</f>
        <v/>
      </c>
      <c r="L973" s="25">
        <f>IF(A973="","",DATE(YEAR(A973),MONTH(A973),1))</f>
        <v/>
      </c>
      <c r="M973" s="26">
        <f>IF(AND(E973="",F973=""),"",N(E973)-N(F973))</f>
        <v/>
      </c>
      <c r="N973" s="28" t="n"/>
    </row>
    <row r="974">
      <c r="A974" s="27" t="n"/>
      <c r="B974" s="28" t="n"/>
      <c r="C974" s="28" t="n"/>
      <c r="D974" s="28" t="n"/>
      <c r="E974" s="29" t="n"/>
      <c r="F974" s="29" t="n"/>
      <c r="G974" s="28" t="n"/>
      <c r="H974" s="28" t="n"/>
      <c r="I974" s="28" t="n"/>
      <c r="J974" s="28" t="n"/>
      <c r="K974" s="24">
        <f>IF(D974="","",IFERROR(INDEX(Setup!$B$24:$B$59,MATCH(D974,Setup!$A$24:$A$59,0)),"Check category"))</f>
        <v/>
      </c>
      <c r="L974" s="25">
        <f>IF(A974="","",DATE(YEAR(A974),MONTH(A974),1))</f>
        <v/>
      </c>
      <c r="M974" s="26">
        <f>IF(AND(E974="",F974=""),"",N(E974)-N(F974))</f>
        <v/>
      </c>
      <c r="N974" s="28" t="n"/>
    </row>
    <row r="975">
      <c r="A975" s="27" t="n"/>
      <c r="B975" s="28" t="n"/>
      <c r="C975" s="28" t="n"/>
      <c r="D975" s="28" t="n"/>
      <c r="E975" s="29" t="n"/>
      <c r="F975" s="29" t="n"/>
      <c r="G975" s="28" t="n"/>
      <c r="H975" s="28" t="n"/>
      <c r="I975" s="28" t="n"/>
      <c r="J975" s="28" t="n"/>
      <c r="K975" s="24">
        <f>IF(D975="","",IFERROR(INDEX(Setup!$B$24:$B$59,MATCH(D975,Setup!$A$24:$A$59,0)),"Check category"))</f>
        <v/>
      </c>
      <c r="L975" s="25">
        <f>IF(A975="","",DATE(YEAR(A975),MONTH(A975),1))</f>
        <v/>
      </c>
      <c r="M975" s="26">
        <f>IF(AND(E975="",F975=""),"",N(E975)-N(F975))</f>
        <v/>
      </c>
      <c r="N975" s="28" t="n"/>
    </row>
    <row r="976">
      <c r="A976" s="27" t="n"/>
      <c r="B976" s="28" t="n"/>
      <c r="C976" s="28" t="n"/>
      <c r="D976" s="28" t="n"/>
      <c r="E976" s="29" t="n"/>
      <c r="F976" s="29" t="n"/>
      <c r="G976" s="28" t="n"/>
      <c r="H976" s="28" t="n"/>
      <c r="I976" s="28" t="n"/>
      <c r="J976" s="28" t="n"/>
      <c r="K976" s="24">
        <f>IF(D976="","",IFERROR(INDEX(Setup!$B$24:$B$59,MATCH(D976,Setup!$A$24:$A$59,0)),"Check category"))</f>
        <v/>
      </c>
      <c r="L976" s="25">
        <f>IF(A976="","",DATE(YEAR(A976),MONTH(A976),1))</f>
        <v/>
      </c>
      <c r="M976" s="26">
        <f>IF(AND(E976="",F976=""),"",N(E976)-N(F976))</f>
        <v/>
      </c>
      <c r="N976" s="28" t="n"/>
    </row>
    <row r="977">
      <c r="A977" s="27" t="n"/>
      <c r="B977" s="28" t="n"/>
      <c r="C977" s="28" t="n"/>
      <c r="D977" s="28" t="n"/>
      <c r="E977" s="29" t="n"/>
      <c r="F977" s="29" t="n"/>
      <c r="G977" s="28" t="n"/>
      <c r="H977" s="28" t="n"/>
      <c r="I977" s="28" t="n"/>
      <c r="J977" s="28" t="n"/>
      <c r="K977" s="24">
        <f>IF(D977="","",IFERROR(INDEX(Setup!$B$24:$B$59,MATCH(D977,Setup!$A$24:$A$59,0)),"Check category"))</f>
        <v/>
      </c>
      <c r="L977" s="25">
        <f>IF(A977="","",DATE(YEAR(A977),MONTH(A977),1))</f>
        <v/>
      </c>
      <c r="M977" s="26">
        <f>IF(AND(E977="",F977=""),"",N(E977)-N(F977))</f>
        <v/>
      </c>
      <c r="N977" s="28" t="n"/>
    </row>
    <row r="978">
      <c r="A978" s="27" t="n"/>
      <c r="B978" s="28" t="n"/>
      <c r="C978" s="28" t="n"/>
      <c r="D978" s="28" t="n"/>
      <c r="E978" s="29" t="n"/>
      <c r="F978" s="29" t="n"/>
      <c r="G978" s="28" t="n"/>
      <c r="H978" s="28" t="n"/>
      <c r="I978" s="28" t="n"/>
      <c r="J978" s="28" t="n"/>
      <c r="K978" s="24">
        <f>IF(D978="","",IFERROR(INDEX(Setup!$B$24:$B$59,MATCH(D978,Setup!$A$24:$A$59,0)),"Check category"))</f>
        <v/>
      </c>
      <c r="L978" s="25">
        <f>IF(A978="","",DATE(YEAR(A978),MONTH(A978),1))</f>
        <v/>
      </c>
      <c r="M978" s="26">
        <f>IF(AND(E978="",F978=""),"",N(E978)-N(F978))</f>
        <v/>
      </c>
      <c r="N978" s="28" t="n"/>
    </row>
    <row r="979">
      <c r="A979" s="27" t="n"/>
      <c r="B979" s="28" t="n"/>
      <c r="C979" s="28" t="n"/>
      <c r="D979" s="28" t="n"/>
      <c r="E979" s="29" t="n"/>
      <c r="F979" s="29" t="n"/>
      <c r="G979" s="28" t="n"/>
      <c r="H979" s="28" t="n"/>
      <c r="I979" s="28" t="n"/>
      <c r="J979" s="28" t="n"/>
      <c r="K979" s="24">
        <f>IF(D979="","",IFERROR(INDEX(Setup!$B$24:$B$59,MATCH(D979,Setup!$A$24:$A$59,0)),"Check category"))</f>
        <v/>
      </c>
      <c r="L979" s="25">
        <f>IF(A979="","",DATE(YEAR(A979),MONTH(A979),1))</f>
        <v/>
      </c>
      <c r="M979" s="26">
        <f>IF(AND(E979="",F979=""),"",N(E979)-N(F979))</f>
        <v/>
      </c>
      <c r="N979" s="28" t="n"/>
    </row>
    <row r="980">
      <c r="A980" s="27" t="n"/>
      <c r="B980" s="28" t="n"/>
      <c r="C980" s="28" t="n"/>
      <c r="D980" s="28" t="n"/>
      <c r="E980" s="29" t="n"/>
      <c r="F980" s="29" t="n"/>
      <c r="G980" s="28" t="n"/>
      <c r="H980" s="28" t="n"/>
      <c r="I980" s="28" t="n"/>
      <c r="J980" s="28" t="n"/>
      <c r="K980" s="24">
        <f>IF(D980="","",IFERROR(INDEX(Setup!$B$24:$B$59,MATCH(D980,Setup!$A$24:$A$59,0)),"Check category"))</f>
        <v/>
      </c>
      <c r="L980" s="25">
        <f>IF(A980="","",DATE(YEAR(A980),MONTH(A980),1))</f>
        <v/>
      </c>
      <c r="M980" s="26">
        <f>IF(AND(E980="",F980=""),"",N(E980)-N(F980))</f>
        <v/>
      </c>
      <c r="N980" s="28" t="n"/>
    </row>
    <row r="981">
      <c r="A981" s="27" t="n"/>
      <c r="B981" s="28" t="n"/>
      <c r="C981" s="28" t="n"/>
      <c r="D981" s="28" t="n"/>
      <c r="E981" s="29" t="n"/>
      <c r="F981" s="29" t="n"/>
      <c r="G981" s="28" t="n"/>
      <c r="H981" s="28" t="n"/>
      <c r="I981" s="28" t="n"/>
      <c r="J981" s="28" t="n"/>
      <c r="K981" s="24">
        <f>IF(D981="","",IFERROR(INDEX(Setup!$B$24:$B$59,MATCH(D981,Setup!$A$24:$A$59,0)),"Check category"))</f>
        <v/>
      </c>
      <c r="L981" s="25">
        <f>IF(A981="","",DATE(YEAR(A981),MONTH(A981),1))</f>
        <v/>
      </c>
      <c r="M981" s="26">
        <f>IF(AND(E981="",F981=""),"",N(E981)-N(F981))</f>
        <v/>
      </c>
      <c r="N981" s="28" t="n"/>
    </row>
    <row r="982">
      <c r="A982" s="27" t="n"/>
      <c r="B982" s="28" t="n"/>
      <c r="C982" s="28" t="n"/>
      <c r="D982" s="28" t="n"/>
      <c r="E982" s="29" t="n"/>
      <c r="F982" s="29" t="n"/>
      <c r="G982" s="28" t="n"/>
      <c r="H982" s="28" t="n"/>
      <c r="I982" s="28" t="n"/>
      <c r="J982" s="28" t="n"/>
      <c r="K982" s="24">
        <f>IF(D982="","",IFERROR(INDEX(Setup!$B$24:$B$59,MATCH(D982,Setup!$A$24:$A$59,0)),"Check category"))</f>
        <v/>
      </c>
      <c r="L982" s="25">
        <f>IF(A982="","",DATE(YEAR(A982),MONTH(A982),1))</f>
        <v/>
      </c>
      <c r="M982" s="26">
        <f>IF(AND(E982="",F982=""),"",N(E982)-N(F982))</f>
        <v/>
      </c>
      <c r="N982" s="28" t="n"/>
    </row>
    <row r="983">
      <c r="A983" s="27" t="n"/>
      <c r="B983" s="28" t="n"/>
      <c r="C983" s="28" t="n"/>
      <c r="D983" s="28" t="n"/>
      <c r="E983" s="29" t="n"/>
      <c r="F983" s="29" t="n"/>
      <c r="G983" s="28" t="n"/>
      <c r="H983" s="28" t="n"/>
      <c r="I983" s="28" t="n"/>
      <c r="J983" s="28" t="n"/>
      <c r="K983" s="24">
        <f>IF(D983="","",IFERROR(INDEX(Setup!$B$24:$B$59,MATCH(D983,Setup!$A$24:$A$59,0)),"Check category"))</f>
        <v/>
      </c>
      <c r="L983" s="25">
        <f>IF(A983="","",DATE(YEAR(A983),MONTH(A983),1))</f>
        <v/>
      </c>
      <c r="M983" s="26">
        <f>IF(AND(E983="",F983=""),"",N(E983)-N(F983))</f>
        <v/>
      </c>
      <c r="N983" s="28" t="n"/>
    </row>
    <row r="984">
      <c r="A984" s="27" t="n"/>
      <c r="B984" s="28" t="n"/>
      <c r="C984" s="28" t="n"/>
      <c r="D984" s="28" t="n"/>
      <c r="E984" s="29" t="n"/>
      <c r="F984" s="29" t="n"/>
      <c r="G984" s="28" t="n"/>
      <c r="H984" s="28" t="n"/>
      <c r="I984" s="28" t="n"/>
      <c r="J984" s="28" t="n"/>
      <c r="K984" s="24">
        <f>IF(D984="","",IFERROR(INDEX(Setup!$B$24:$B$59,MATCH(D984,Setup!$A$24:$A$59,0)),"Check category"))</f>
        <v/>
      </c>
      <c r="L984" s="25">
        <f>IF(A984="","",DATE(YEAR(A984),MONTH(A984),1))</f>
        <v/>
      </c>
      <c r="M984" s="26">
        <f>IF(AND(E984="",F984=""),"",N(E984)-N(F984))</f>
        <v/>
      </c>
      <c r="N984" s="28" t="n"/>
    </row>
    <row r="985">
      <c r="A985" s="27" t="n"/>
      <c r="B985" s="28" t="n"/>
      <c r="C985" s="28" t="n"/>
      <c r="D985" s="28" t="n"/>
      <c r="E985" s="29" t="n"/>
      <c r="F985" s="29" t="n"/>
      <c r="G985" s="28" t="n"/>
      <c r="H985" s="28" t="n"/>
      <c r="I985" s="28" t="n"/>
      <c r="J985" s="28" t="n"/>
      <c r="K985" s="24">
        <f>IF(D985="","",IFERROR(INDEX(Setup!$B$24:$B$59,MATCH(D985,Setup!$A$24:$A$59,0)),"Check category"))</f>
        <v/>
      </c>
      <c r="L985" s="25">
        <f>IF(A985="","",DATE(YEAR(A985),MONTH(A985),1))</f>
        <v/>
      </c>
      <c r="M985" s="26">
        <f>IF(AND(E985="",F985=""),"",N(E985)-N(F985))</f>
        <v/>
      </c>
      <c r="N985" s="28" t="n"/>
    </row>
    <row r="986">
      <c r="A986" s="27" t="n"/>
      <c r="B986" s="28" t="n"/>
      <c r="C986" s="28" t="n"/>
      <c r="D986" s="28" t="n"/>
      <c r="E986" s="29" t="n"/>
      <c r="F986" s="29" t="n"/>
      <c r="G986" s="28" t="n"/>
      <c r="H986" s="28" t="n"/>
      <c r="I986" s="28" t="n"/>
      <c r="J986" s="28" t="n"/>
      <c r="K986" s="24">
        <f>IF(D986="","",IFERROR(INDEX(Setup!$B$24:$B$59,MATCH(D986,Setup!$A$24:$A$59,0)),"Check category"))</f>
        <v/>
      </c>
      <c r="L986" s="25">
        <f>IF(A986="","",DATE(YEAR(A986),MONTH(A986),1))</f>
        <v/>
      </c>
      <c r="M986" s="26">
        <f>IF(AND(E986="",F986=""),"",N(E986)-N(F986))</f>
        <v/>
      </c>
      <c r="N986" s="28" t="n"/>
    </row>
    <row r="987">
      <c r="A987" s="27" t="n"/>
      <c r="B987" s="28" t="n"/>
      <c r="C987" s="28" t="n"/>
      <c r="D987" s="28" t="n"/>
      <c r="E987" s="29" t="n"/>
      <c r="F987" s="29" t="n"/>
      <c r="G987" s="28" t="n"/>
      <c r="H987" s="28" t="n"/>
      <c r="I987" s="28" t="n"/>
      <c r="J987" s="28" t="n"/>
      <c r="K987" s="24">
        <f>IF(D987="","",IFERROR(INDEX(Setup!$B$24:$B$59,MATCH(D987,Setup!$A$24:$A$59,0)),"Check category"))</f>
        <v/>
      </c>
      <c r="L987" s="25">
        <f>IF(A987="","",DATE(YEAR(A987),MONTH(A987),1))</f>
        <v/>
      </c>
      <c r="M987" s="26">
        <f>IF(AND(E987="",F987=""),"",N(E987)-N(F987))</f>
        <v/>
      </c>
      <c r="N987" s="28" t="n"/>
    </row>
    <row r="988">
      <c r="A988" s="27" t="n"/>
      <c r="B988" s="28" t="n"/>
      <c r="C988" s="28" t="n"/>
      <c r="D988" s="28" t="n"/>
      <c r="E988" s="29" t="n"/>
      <c r="F988" s="29" t="n"/>
      <c r="G988" s="28" t="n"/>
      <c r="H988" s="28" t="n"/>
      <c r="I988" s="28" t="n"/>
      <c r="J988" s="28" t="n"/>
      <c r="K988" s="24">
        <f>IF(D988="","",IFERROR(INDEX(Setup!$B$24:$B$59,MATCH(D988,Setup!$A$24:$A$59,0)),"Check category"))</f>
        <v/>
      </c>
      <c r="L988" s="25">
        <f>IF(A988="","",DATE(YEAR(A988),MONTH(A988),1))</f>
        <v/>
      </c>
      <c r="M988" s="26">
        <f>IF(AND(E988="",F988=""),"",N(E988)-N(F988))</f>
        <v/>
      </c>
      <c r="N988" s="28" t="n"/>
    </row>
    <row r="989">
      <c r="A989" s="27" t="n"/>
      <c r="B989" s="28" t="n"/>
      <c r="C989" s="28" t="n"/>
      <c r="D989" s="28" t="n"/>
      <c r="E989" s="29" t="n"/>
      <c r="F989" s="29" t="n"/>
      <c r="G989" s="28" t="n"/>
      <c r="H989" s="28" t="n"/>
      <c r="I989" s="28" t="n"/>
      <c r="J989" s="28" t="n"/>
      <c r="K989" s="24">
        <f>IF(D989="","",IFERROR(INDEX(Setup!$B$24:$B$59,MATCH(D989,Setup!$A$24:$A$59,0)),"Check category"))</f>
        <v/>
      </c>
      <c r="L989" s="25">
        <f>IF(A989="","",DATE(YEAR(A989),MONTH(A989),1))</f>
        <v/>
      </c>
      <c r="M989" s="26">
        <f>IF(AND(E989="",F989=""),"",N(E989)-N(F989))</f>
        <v/>
      </c>
      <c r="N989" s="28" t="n"/>
    </row>
    <row r="990">
      <c r="A990" s="27" t="n"/>
      <c r="B990" s="28" t="n"/>
      <c r="C990" s="28" t="n"/>
      <c r="D990" s="28" t="n"/>
      <c r="E990" s="29" t="n"/>
      <c r="F990" s="29" t="n"/>
      <c r="G990" s="28" t="n"/>
      <c r="H990" s="28" t="n"/>
      <c r="I990" s="28" t="n"/>
      <c r="J990" s="28" t="n"/>
      <c r="K990" s="24">
        <f>IF(D990="","",IFERROR(INDEX(Setup!$B$24:$B$59,MATCH(D990,Setup!$A$24:$A$59,0)),"Check category"))</f>
        <v/>
      </c>
      <c r="L990" s="25">
        <f>IF(A990="","",DATE(YEAR(A990),MONTH(A990),1))</f>
        <v/>
      </c>
      <c r="M990" s="26">
        <f>IF(AND(E990="",F990=""),"",N(E990)-N(F990))</f>
        <v/>
      </c>
      <c r="N990" s="28" t="n"/>
    </row>
    <row r="991">
      <c r="A991" s="27" t="n"/>
      <c r="B991" s="28" t="n"/>
      <c r="C991" s="28" t="n"/>
      <c r="D991" s="28" t="n"/>
      <c r="E991" s="29" t="n"/>
      <c r="F991" s="29" t="n"/>
      <c r="G991" s="28" t="n"/>
      <c r="H991" s="28" t="n"/>
      <c r="I991" s="28" t="n"/>
      <c r="J991" s="28" t="n"/>
      <c r="K991" s="24">
        <f>IF(D991="","",IFERROR(INDEX(Setup!$B$24:$B$59,MATCH(D991,Setup!$A$24:$A$59,0)),"Check category"))</f>
        <v/>
      </c>
      <c r="L991" s="25">
        <f>IF(A991="","",DATE(YEAR(A991),MONTH(A991),1))</f>
        <v/>
      </c>
      <c r="M991" s="26">
        <f>IF(AND(E991="",F991=""),"",N(E991)-N(F991))</f>
        <v/>
      </c>
      <c r="N991" s="28" t="n"/>
    </row>
    <row r="992">
      <c r="A992" s="27" t="n"/>
      <c r="B992" s="28" t="n"/>
      <c r="C992" s="28" t="n"/>
      <c r="D992" s="28" t="n"/>
      <c r="E992" s="29" t="n"/>
      <c r="F992" s="29" t="n"/>
      <c r="G992" s="28" t="n"/>
      <c r="H992" s="28" t="n"/>
      <c r="I992" s="28" t="n"/>
      <c r="J992" s="28" t="n"/>
      <c r="K992" s="24">
        <f>IF(D992="","",IFERROR(INDEX(Setup!$B$24:$B$59,MATCH(D992,Setup!$A$24:$A$59,0)),"Check category"))</f>
        <v/>
      </c>
      <c r="L992" s="25">
        <f>IF(A992="","",DATE(YEAR(A992),MONTH(A992),1))</f>
        <v/>
      </c>
      <c r="M992" s="26">
        <f>IF(AND(E992="",F992=""),"",N(E992)-N(F992))</f>
        <v/>
      </c>
      <c r="N992" s="28" t="n"/>
    </row>
    <row r="993">
      <c r="A993" s="27" t="n"/>
      <c r="B993" s="28" t="n"/>
      <c r="C993" s="28" t="n"/>
      <c r="D993" s="28" t="n"/>
      <c r="E993" s="29" t="n"/>
      <c r="F993" s="29" t="n"/>
      <c r="G993" s="28" t="n"/>
      <c r="H993" s="28" t="n"/>
      <c r="I993" s="28" t="n"/>
      <c r="J993" s="28" t="n"/>
      <c r="K993" s="24">
        <f>IF(D993="","",IFERROR(INDEX(Setup!$B$24:$B$59,MATCH(D993,Setup!$A$24:$A$59,0)),"Check category"))</f>
        <v/>
      </c>
      <c r="L993" s="25">
        <f>IF(A993="","",DATE(YEAR(A993),MONTH(A993),1))</f>
        <v/>
      </c>
      <c r="M993" s="26">
        <f>IF(AND(E993="",F993=""),"",N(E993)-N(F993))</f>
        <v/>
      </c>
      <c r="N993" s="28" t="n"/>
    </row>
    <row r="994">
      <c r="A994" s="27" t="n"/>
      <c r="B994" s="28" t="n"/>
      <c r="C994" s="28" t="n"/>
      <c r="D994" s="28" t="n"/>
      <c r="E994" s="29" t="n"/>
      <c r="F994" s="29" t="n"/>
      <c r="G994" s="28" t="n"/>
      <c r="H994" s="28" t="n"/>
      <c r="I994" s="28" t="n"/>
      <c r="J994" s="28" t="n"/>
      <c r="K994" s="24">
        <f>IF(D994="","",IFERROR(INDEX(Setup!$B$24:$B$59,MATCH(D994,Setup!$A$24:$A$59,0)),"Check category"))</f>
        <v/>
      </c>
      <c r="L994" s="25">
        <f>IF(A994="","",DATE(YEAR(A994),MONTH(A994),1))</f>
        <v/>
      </c>
      <c r="M994" s="26">
        <f>IF(AND(E994="",F994=""),"",N(E994)-N(F994))</f>
        <v/>
      </c>
      <c r="N994" s="28" t="n"/>
    </row>
    <row r="995">
      <c r="A995" s="27" t="n"/>
      <c r="B995" s="28" t="n"/>
      <c r="C995" s="28" t="n"/>
      <c r="D995" s="28" t="n"/>
      <c r="E995" s="29" t="n"/>
      <c r="F995" s="29" t="n"/>
      <c r="G995" s="28" t="n"/>
      <c r="H995" s="28" t="n"/>
      <c r="I995" s="28" t="n"/>
      <c r="J995" s="28" t="n"/>
      <c r="K995" s="24">
        <f>IF(D995="","",IFERROR(INDEX(Setup!$B$24:$B$59,MATCH(D995,Setup!$A$24:$A$59,0)),"Check category"))</f>
        <v/>
      </c>
      <c r="L995" s="25">
        <f>IF(A995="","",DATE(YEAR(A995),MONTH(A995),1))</f>
        <v/>
      </c>
      <c r="M995" s="26">
        <f>IF(AND(E995="",F995=""),"",N(E995)-N(F995))</f>
        <v/>
      </c>
      <c r="N995" s="28" t="n"/>
    </row>
    <row r="996">
      <c r="A996" s="27" t="n"/>
      <c r="B996" s="28" t="n"/>
      <c r="C996" s="28" t="n"/>
      <c r="D996" s="28" t="n"/>
      <c r="E996" s="29" t="n"/>
      <c r="F996" s="29" t="n"/>
      <c r="G996" s="28" t="n"/>
      <c r="H996" s="28" t="n"/>
      <c r="I996" s="28" t="n"/>
      <c r="J996" s="28" t="n"/>
      <c r="K996" s="24">
        <f>IF(D996="","",IFERROR(INDEX(Setup!$B$24:$B$59,MATCH(D996,Setup!$A$24:$A$59,0)),"Check category"))</f>
        <v/>
      </c>
      <c r="L996" s="25">
        <f>IF(A996="","",DATE(YEAR(A996),MONTH(A996),1))</f>
        <v/>
      </c>
      <c r="M996" s="26">
        <f>IF(AND(E996="",F996=""),"",N(E996)-N(F996))</f>
        <v/>
      </c>
      <c r="N996" s="28" t="n"/>
    </row>
    <row r="997">
      <c r="A997" s="27" t="n"/>
      <c r="B997" s="28" t="n"/>
      <c r="C997" s="28" t="n"/>
      <c r="D997" s="28" t="n"/>
      <c r="E997" s="29" t="n"/>
      <c r="F997" s="29" t="n"/>
      <c r="G997" s="28" t="n"/>
      <c r="H997" s="28" t="n"/>
      <c r="I997" s="28" t="n"/>
      <c r="J997" s="28" t="n"/>
      <c r="K997" s="24">
        <f>IF(D997="","",IFERROR(INDEX(Setup!$B$24:$B$59,MATCH(D997,Setup!$A$24:$A$59,0)),"Check category"))</f>
        <v/>
      </c>
      <c r="L997" s="25">
        <f>IF(A997="","",DATE(YEAR(A997),MONTH(A997),1))</f>
        <v/>
      </c>
      <c r="M997" s="26">
        <f>IF(AND(E997="",F997=""),"",N(E997)-N(F997))</f>
        <v/>
      </c>
      <c r="N997" s="28" t="n"/>
    </row>
    <row r="998">
      <c r="A998" s="27" t="n"/>
      <c r="B998" s="28" t="n"/>
      <c r="C998" s="28" t="n"/>
      <c r="D998" s="28" t="n"/>
      <c r="E998" s="29" t="n"/>
      <c r="F998" s="29" t="n"/>
      <c r="G998" s="28" t="n"/>
      <c r="H998" s="28" t="n"/>
      <c r="I998" s="28" t="n"/>
      <c r="J998" s="28" t="n"/>
      <c r="K998" s="24">
        <f>IF(D998="","",IFERROR(INDEX(Setup!$B$24:$B$59,MATCH(D998,Setup!$A$24:$A$59,0)),"Check category"))</f>
        <v/>
      </c>
      <c r="L998" s="25">
        <f>IF(A998="","",DATE(YEAR(A998),MONTH(A998),1))</f>
        <v/>
      </c>
      <c r="M998" s="26">
        <f>IF(AND(E998="",F998=""),"",N(E998)-N(F998))</f>
        <v/>
      </c>
      <c r="N998" s="28" t="n"/>
    </row>
    <row r="999">
      <c r="A999" s="27" t="n"/>
      <c r="B999" s="28" t="n"/>
      <c r="C999" s="28" t="n"/>
      <c r="D999" s="28" t="n"/>
      <c r="E999" s="29" t="n"/>
      <c r="F999" s="29" t="n"/>
      <c r="G999" s="28" t="n"/>
      <c r="H999" s="28" t="n"/>
      <c r="I999" s="28" t="n"/>
      <c r="J999" s="28" t="n"/>
      <c r="K999" s="24">
        <f>IF(D999="","",IFERROR(INDEX(Setup!$B$24:$B$59,MATCH(D999,Setup!$A$24:$A$59,0)),"Check category"))</f>
        <v/>
      </c>
      <c r="L999" s="25">
        <f>IF(A999="","",DATE(YEAR(A999),MONTH(A999),1))</f>
        <v/>
      </c>
      <c r="M999" s="26">
        <f>IF(AND(E999="",F999=""),"",N(E999)-N(F999))</f>
        <v/>
      </c>
      <c r="N999" s="28" t="n"/>
    </row>
    <row r="1000">
      <c r="A1000" s="27" t="n"/>
      <c r="B1000" s="28" t="n"/>
      <c r="C1000" s="28" t="n"/>
      <c r="D1000" s="28" t="n"/>
      <c r="E1000" s="29" t="n"/>
      <c r="F1000" s="29" t="n"/>
      <c r="G1000" s="28" t="n"/>
      <c r="H1000" s="28" t="n"/>
      <c r="I1000" s="28" t="n"/>
      <c r="J1000" s="28" t="n"/>
      <c r="K1000" s="24">
        <f>IF(D1000="","",IFERROR(INDEX(Setup!$B$24:$B$59,MATCH(D1000,Setup!$A$24:$A$59,0)),"Check category"))</f>
        <v/>
      </c>
      <c r="L1000" s="25">
        <f>IF(A1000="","",DATE(YEAR(A1000),MONTH(A1000),1))</f>
        <v/>
      </c>
      <c r="M1000" s="26">
        <f>IF(AND(E1000="",F1000=""),"",N(E1000)-N(F1000))</f>
        <v/>
      </c>
      <c r="N1000" s="28" t="n"/>
    </row>
    <row r="1001">
      <c r="A1001" s="27" t="n"/>
      <c r="B1001" s="28" t="n"/>
      <c r="C1001" s="28" t="n"/>
      <c r="D1001" s="28" t="n"/>
      <c r="E1001" s="29" t="n"/>
      <c r="F1001" s="29" t="n"/>
      <c r="G1001" s="28" t="n"/>
      <c r="H1001" s="28" t="n"/>
      <c r="I1001" s="28" t="n"/>
      <c r="J1001" s="28" t="n"/>
      <c r="K1001" s="24">
        <f>IF(D1001="","",IFERROR(INDEX(Setup!$B$24:$B$59,MATCH(D1001,Setup!$A$24:$A$59,0)),"Check category"))</f>
        <v/>
      </c>
      <c r="L1001" s="25">
        <f>IF(A1001="","",DATE(YEAR(A1001),MONTH(A1001),1))</f>
        <v/>
      </c>
      <c r="M1001" s="26">
        <f>IF(AND(E1001="",F1001=""),"",N(E1001)-N(F1001))</f>
        <v/>
      </c>
      <c r="N1001" s="28" t="n"/>
    </row>
    <row r="1002">
      <c r="A1002" s="27" t="n"/>
      <c r="B1002" s="28" t="n"/>
      <c r="C1002" s="28" t="n"/>
      <c r="D1002" s="28" t="n"/>
      <c r="E1002" s="29" t="n"/>
      <c r="F1002" s="29" t="n"/>
      <c r="G1002" s="28" t="n"/>
      <c r="H1002" s="28" t="n"/>
      <c r="I1002" s="28" t="n"/>
      <c r="J1002" s="28" t="n"/>
      <c r="K1002" s="24">
        <f>IF(D1002="","",IFERROR(INDEX(Setup!$B$24:$B$59,MATCH(D1002,Setup!$A$24:$A$59,0)),"Check category"))</f>
        <v/>
      </c>
      <c r="L1002" s="25">
        <f>IF(A1002="","",DATE(YEAR(A1002),MONTH(A1002),1))</f>
        <v/>
      </c>
      <c r="M1002" s="26">
        <f>IF(AND(E1002="",F1002=""),"",N(E1002)-N(F1002))</f>
        <v/>
      </c>
      <c r="N1002" s="28" t="n"/>
    </row>
    <row r="1003">
      <c r="A1003" s="27" t="n"/>
      <c r="B1003" s="28" t="n"/>
      <c r="C1003" s="28" t="n"/>
      <c r="D1003" s="28" t="n"/>
      <c r="E1003" s="29" t="n"/>
      <c r="F1003" s="29" t="n"/>
      <c r="G1003" s="28" t="n"/>
      <c r="H1003" s="28" t="n"/>
      <c r="I1003" s="28" t="n"/>
      <c r="J1003" s="28" t="n"/>
      <c r="K1003" s="24">
        <f>IF(D1003="","",IFERROR(INDEX(Setup!$B$24:$B$59,MATCH(D1003,Setup!$A$24:$A$59,0)),"Check category"))</f>
        <v/>
      </c>
      <c r="L1003" s="25">
        <f>IF(A1003="","",DATE(YEAR(A1003),MONTH(A1003),1))</f>
        <v/>
      </c>
      <c r="M1003" s="26">
        <f>IF(AND(E1003="",F1003=""),"",N(E1003)-N(F1003))</f>
        <v/>
      </c>
      <c r="N1003" s="28" t="n"/>
    </row>
    <row r="1004">
      <c r="A1004" s="27" t="n"/>
      <c r="B1004" s="28" t="n"/>
      <c r="C1004" s="28" t="n"/>
      <c r="D1004" s="28" t="n"/>
      <c r="E1004" s="29" t="n"/>
      <c r="F1004" s="29" t="n"/>
      <c r="G1004" s="28" t="n"/>
      <c r="H1004" s="28" t="n"/>
      <c r="I1004" s="28" t="n"/>
      <c r="J1004" s="28" t="n"/>
      <c r="K1004" s="24">
        <f>IF(D1004="","",IFERROR(INDEX(Setup!$B$24:$B$59,MATCH(D1004,Setup!$A$24:$A$59,0)),"Check category"))</f>
        <v/>
      </c>
      <c r="L1004" s="25">
        <f>IF(A1004="","",DATE(YEAR(A1004),MONTH(A1004),1))</f>
        <v/>
      </c>
      <c r="M1004" s="26">
        <f>IF(AND(E1004="",F1004=""),"",N(E1004)-N(F1004))</f>
        <v/>
      </c>
      <c r="N1004" s="28" t="n"/>
    </row>
    <row r="1005">
      <c r="A1005" s="27" t="n"/>
      <c r="B1005" s="28" t="n"/>
      <c r="C1005" s="28" t="n"/>
      <c r="D1005" s="28" t="n"/>
      <c r="E1005" s="29" t="n"/>
      <c r="F1005" s="29" t="n"/>
      <c r="G1005" s="28" t="n"/>
      <c r="H1005" s="28" t="n"/>
      <c r="I1005" s="28" t="n"/>
      <c r="J1005" s="28" t="n"/>
      <c r="K1005" s="24">
        <f>IF(D1005="","",IFERROR(INDEX(Setup!$B$24:$B$59,MATCH(D1005,Setup!$A$24:$A$59,0)),"Check category"))</f>
        <v/>
      </c>
      <c r="L1005" s="25">
        <f>IF(A1005="","",DATE(YEAR(A1005),MONTH(A1005),1))</f>
        <v/>
      </c>
      <c r="M1005" s="26">
        <f>IF(AND(E1005="",F1005=""),"",N(E1005)-N(F1005))</f>
        <v/>
      </c>
      <c r="N1005" s="28" t="n"/>
    </row>
    <row r="1006">
      <c r="A1006" s="27" t="n"/>
      <c r="B1006" s="28" t="n"/>
      <c r="C1006" s="28" t="n"/>
      <c r="D1006" s="28" t="n"/>
      <c r="E1006" s="29" t="n"/>
      <c r="F1006" s="29" t="n"/>
      <c r="G1006" s="28" t="n"/>
      <c r="H1006" s="28" t="n"/>
      <c r="I1006" s="28" t="n"/>
      <c r="J1006" s="28" t="n"/>
      <c r="K1006" s="24">
        <f>IF(D1006="","",IFERROR(INDEX(Setup!$B$24:$B$59,MATCH(D1006,Setup!$A$24:$A$59,0)),"Check category"))</f>
        <v/>
      </c>
      <c r="L1006" s="25">
        <f>IF(A1006="","",DATE(YEAR(A1006),MONTH(A1006),1))</f>
        <v/>
      </c>
      <c r="M1006" s="26">
        <f>IF(AND(E1006="",F1006=""),"",N(E1006)-N(F1006))</f>
        <v/>
      </c>
      <c r="N1006" s="28" t="n"/>
    </row>
    <row r="1007">
      <c r="A1007" s="27" t="n"/>
      <c r="B1007" s="28" t="n"/>
      <c r="C1007" s="28" t="n"/>
      <c r="D1007" s="28" t="n"/>
      <c r="E1007" s="29" t="n"/>
      <c r="F1007" s="29" t="n"/>
      <c r="G1007" s="28" t="n"/>
      <c r="H1007" s="28" t="n"/>
      <c r="I1007" s="28" t="n"/>
      <c r="J1007" s="28" t="n"/>
      <c r="K1007" s="24">
        <f>IF(D1007="","",IFERROR(INDEX(Setup!$B$24:$B$59,MATCH(D1007,Setup!$A$24:$A$59,0)),"Check category"))</f>
        <v/>
      </c>
      <c r="L1007" s="25">
        <f>IF(A1007="","",DATE(YEAR(A1007),MONTH(A1007),1))</f>
        <v/>
      </c>
      <c r="M1007" s="26">
        <f>IF(AND(E1007="",F1007=""),"",N(E1007)-N(F1007))</f>
        <v/>
      </c>
      <c r="N1007" s="28" t="n"/>
    </row>
    <row r="1008">
      <c r="A1008" s="27" t="n"/>
      <c r="B1008" s="28" t="n"/>
      <c r="C1008" s="28" t="n"/>
      <c r="D1008" s="28" t="n"/>
      <c r="E1008" s="29" t="n"/>
      <c r="F1008" s="29" t="n"/>
      <c r="G1008" s="28" t="n"/>
      <c r="H1008" s="28" t="n"/>
      <c r="I1008" s="28" t="n"/>
      <c r="J1008" s="28" t="n"/>
      <c r="K1008" s="24">
        <f>IF(D1008="","",IFERROR(INDEX(Setup!$B$24:$B$59,MATCH(D1008,Setup!$A$24:$A$59,0)),"Check category"))</f>
        <v/>
      </c>
      <c r="L1008" s="25">
        <f>IF(A1008="","",DATE(YEAR(A1008),MONTH(A1008),1))</f>
        <v/>
      </c>
      <c r="M1008" s="26">
        <f>IF(AND(E1008="",F1008=""),"",N(E1008)-N(F1008))</f>
        <v/>
      </c>
      <c r="N1008" s="28" t="n"/>
    </row>
    <row r="1009">
      <c r="A1009" s="27" t="n"/>
      <c r="B1009" s="28" t="n"/>
      <c r="C1009" s="28" t="n"/>
      <c r="D1009" s="28" t="n"/>
      <c r="E1009" s="29" t="n"/>
      <c r="F1009" s="29" t="n"/>
      <c r="G1009" s="28" t="n"/>
      <c r="H1009" s="28" t="n"/>
      <c r="I1009" s="28" t="n"/>
      <c r="J1009" s="28" t="n"/>
      <c r="K1009" s="24">
        <f>IF(D1009="","",IFERROR(INDEX(Setup!$B$24:$B$59,MATCH(D1009,Setup!$A$24:$A$59,0)),"Check category"))</f>
        <v/>
      </c>
      <c r="L1009" s="25">
        <f>IF(A1009="","",DATE(YEAR(A1009),MONTH(A1009),1))</f>
        <v/>
      </c>
      <c r="M1009" s="26">
        <f>IF(AND(E1009="",F1009=""),"",N(E1009)-N(F1009))</f>
        <v/>
      </c>
      <c r="N1009" s="28" t="n"/>
    </row>
    <row r="1010">
      <c r="A1010" s="27" t="n"/>
      <c r="B1010" s="28" t="n"/>
      <c r="C1010" s="28" t="n"/>
      <c r="D1010" s="28" t="n"/>
      <c r="E1010" s="29" t="n"/>
      <c r="F1010" s="29" t="n"/>
      <c r="G1010" s="28" t="n"/>
      <c r="H1010" s="28" t="n"/>
      <c r="I1010" s="28" t="n"/>
      <c r="J1010" s="28" t="n"/>
      <c r="K1010" s="24">
        <f>IF(D1010="","",IFERROR(INDEX(Setup!$B$24:$B$59,MATCH(D1010,Setup!$A$24:$A$59,0)),"Check category"))</f>
        <v/>
      </c>
      <c r="L1010" s="25">
        <f>IF(A1010="","",DATE(YEAR(A1010),MONTH(A1010),1))</f>
        <v/>
      </c>
      <c r="M1010" s="26">
        <f>IF(AND(E1010="",F1010=""),"",N(E1010)-N(F1010))</f>
        <v/>
      </c>
      <c r="N1010" s="28" t="n"/>
    </row>
    <row r="1011">
      <c r="A1011" s="27" t="n"/>
      <c r="B1011" s="28" t="n"/>
      <c r="C1011" s="28" t="n"/>
      <c r="D1011" s="28" t="n"/>
      <c r="E1011" s="29" t="n"/>
      <c r="F1011" s="29" t="n"/>
      <c r="G1011" s="28" t="n"/>
      <c r="H1011" s="28" t="n"/>
      <c r="I1011" s="28" t="n"/>
      <c r="J1011" s="28" t="n"/>
      <c r="K1011" s="24">
        <f>IF(D1011="","",IFERROR(INDEX(Setup!$B$24:$B$59,MATCH(D1011,Setup!$A$24:$A$59,0)),"Check category"))</f>
        <v/>
      </c>
      <c r="L1011" s="25">
        <f>IF(A1011="","",DATE(YEAR(A1011),MONTH(A1011),1))</f>
        <v/>
      </c>
      <c r="M1011" s="26">
        <f>IF(AND(E1011="",F1011=""),"",N(E1011)-N(F1011))</f>
        <v/>
      </c>
      <c r="N1011" s="28" t="n"/>
    </row>
    <row r="1012">
      <c r="A1012" s="27" t="n"/>
      <c r="B1012" s="28" t="n"/>
      <c r="C1012" s="28" t="n"/>
      <c r="D1012" s="28" t="n"/>
      <c r="E1012" s="29" t="n"/>
      <c r="F1012" s="29" t="n"/>
      <c r="G1012" s="28" t="n"/>
      <c r="H1012" s="28" t="n"/>
      <c r="I1012" s="28" t="n"/>
      <c r="J1012" s="28" t="n"/>
      <c r="K1012" s="24">
        <f>IF(D1012="","",IFERROR(INDEX(Setup!$B$24:$B$59,MATCH(D1012,Setup!$A$24:$A$59,0)),"Check category"))</f>
        <v/>
      </c>
      <c r="L1012" s="25">
        <f>IF(A1012="","",DATE(YEAR(A1012),MONTH(A1012),1))</f>
        <v/>
      </c>
      <c r="M1012" s="26">
        <f>IF(AND(E1012="",F1012=""),"",N(E1012)-N(F1012))</f>
        <v/>
      </c>
      <c r="N1012" s="28" t="n"/>
    </row>
    <row r="1013">
      <c r="A1013" s="27" t="n"/>
      <c r="B1013" s="28" t="n"/>
      <c r="C1013" s="28" t="n"/>
      <c r="D1013" s="28" t="n"/>
      <c r="E1013" s="29" t="n"/>
      <c r="F1013" s="29" t="n"/>
      <c r="G1013" s="28" t="n"/>
      <c r="H1013" s="28" t="n"/>
      <c r="I1013" s="28" t="n"/>
      <c r="J1013" s="28" t="n"/>
      <c r="K1013" s="24">
        <f>IF(D1013="","",IFERROR(INDEX(Setup!$B$24:$B$59,MATCH(D1013,Setup!$A$24:$A$59,0)),"Check category"))</f>
        <v/>
      </c>
      <c r="L1013" s="25">
        <f>IF(A1013="","",DATE(YEAR(A1013),MONTH(A1013),1))</f>
        <v/>
      </c>
      <c r="M1013" s="26">
        <f>IF(AND(E1013="",F1013=""),"",N(E1013)-N(F1013))</f>
        <v/>
      </c>
      <c r="N1013" s="28" t="n"/>
    </row>
    <row r="1014">
      <c r="A1014" s="27" t="n"/>
      <c r="B1014" s="28" t="n"/>
      <c r="C1014" s="28" t="n"/>
      <c r="D1014" s="28" t="n"/>
      <c r="E1014" s="29" t="n"/>
      <c r="F1014" s="29" t="n"/>
      <c r="G1014" s="28" t="n"/>
      <c r="H1014" s="28" t="n"/>
      <c r="I1014" s="28" t="n"/>
      <c r="J1014" s="28" t="n"/>
      <c r="K1014" s="24">
        <f>IF(D1014="","",IFERROR(INDEX(Setup!$B$24:$B$59,MATCH(D1014,Setup!$A$24:$A$59,0)),"Check category"))</f>
        <v/>
      </c>
      <c r="L1014" s="25">
        <f>IF(A1014="","",DATE(YEAR(A1014),MONTH(A1014),1))</f>
        <v/>
      </c>
      <c r="M1014" s="26">
        <f>IF(AND(E1014="",F1014=""),"",N(E1014)-N(F1014))</f>
        <v/>
      </c>
      <c r="N1014" s="28" t="n"/>
    </row>
    <row r="1015">
      <c r="A1015" s="27" t="n"/>
      <c r="B1015" s="28" t="n"/>
      <c r="C1015" s="28" t="n"/>
      <c r="D1015" s="28" t="n"/>
      <c r="E1015" s="29" t="n"/>
      <c r="F1015" s="29" t="n"/>
      <c r="G1015" s="28" t="n"/>
      <c r="H1015" s="28" t="n"/>
      <c r="I1015" s="28" t="n"/>
      <c r="J1015" s="28" t="n"/>
      <c r="K1015" s="24">
        <f>IF(D1015="","",IFERROR(INDEX(Setup!$B$24:$B$59,MATCH(D1015,Setup!$A$24:$A$59,0)),"Check category"))</f>
        <v/>
      </c>
      <c r="L1015" s="25">
        <f>IF(A1015="","",DATE(YEAR(A1015),MONTH(A1015),1))</f>
        <v/>
      </c>
      <c r="M1015" s="26">
        <f>IF(AND(E1015="",F1015=""),"",N(E1015)-N(F1015))</f>
        <v/>
      </c>
      <c r="N1015" s="28" t="n"/>
    </row>
    <row r="1016">
      <c r="A1016" s="27" t="n"/>
      <c r="B1016" s="28" t="n"/>
      <c r="C1016" s="28" t="n"/>
      <c r="D1016" s="28" t="n"/>
      <c r="E1016" s="29" t="n"/>
      <c r="F1016" s="29" t="n"/>
      <c r="G1016" s="28" t="n"/>
      <c r="H1016" s="28" t="n"/>
      <c r="I1016" s="28" t="n"/>
      <c r="J1016" s="28" t="n"/>
      <c r="K1016" s="24">
        <f>IF(D1016="","",IFERROR(INDEX(Setup!$B$24:$B$59,MATCH(D1016,Setup!$A$24:$A$59,0)),"Check category"))</f>
        <v/>
      </c>
      <c r="L1016" s="25">
        <f>IF(A1016="","",DATE(YEAR(A1016),MONTH(A1016),1))</f>
        <v/>
      </c>
      <c r="M1016" s="26">
        <f>IF(AND(E1016="",F1016=""),"",N(E1016)-N(F1016))</f>
        <v/>
      </c>
      <c r="N1016" s="28" t="n"/>
    </row>
    <row r="1017">
      <c r="A1017" s="27" t="n"/>
      <c r="B1017" s="28" t="n"/>
      <c r="C1017" s="28" t="n"/>
      <c r="D1017" s="28" t="n"/>
      <c r="E1017" s="29" t="n"/>
      <c r="F1017" s="29" t="n"/>
      <c r="G1017" s="28" t="n"/>
      <c r="H1017" s="28" t="n"/>
      <c r="I1017" s="28" t="n"/>
      <c r="J1017" s="28" t="n"/>
      <c r="K1017" s="24">
        <f>IF(D1017="","",IFERROR(INDEX(Setup!$B$24:$B$59,MATCH(D1017,Setup!$A$24:$A$59,0)),"Check category"))</f>
        <v/>
      </c>
      <c r="L1017" s="25">
        <f>IF(A1017="","",DATE(YEAR(A1017),MONTH(A1017),1))</f>
        <v/>
      </c>
      <c r="M1017" s="26">
        <f>IF(AND(E1017="",F1017=""),"",N(E1017)-N(F1017))</f>
        <v/>
      </c>
      <c r="N1017" s="28" t="n"/>
    </row>
    <row r="1018">
      <c r="A1018" s="27" t="n"/>
      <c r="B1018" s="28" t="n"/>
      <c r="C1018" s="28" t="n"/>
      <c r="D1018" s="28" t="n"/>
      <c r="E1018" s="29" t="n"/>
      <c r="F1018" s="29" t="n"/>
      <c r="G1018" s="28" t="n"/>
      <c r="H1018" s="28" t="n"/>
      <c r="I1018" s="28" t="n"/>
      <c r="J1018" s="28" t="n"/>
      <c r="K1018" s="24">
        <f>IF(D1018="","",IFERROR(INDEX(Setup!$B$24:$B$59,MATCH(D1018,Setup!$A$24:$A$59,0)),"Check category"))</f>
        <v/>
      </c>
      <c r="L1018" s="25">
        <f>IF(A1018="","",DATE(YEAR(A1018),MONTH(A1018),1))</f>
        <v/>
      </c>
      <c r="M1018" s="26">
        <f>IF(AND(E1018="",F1018=""),"",N(E1018)-N(F1018))</f>
        <v/>
      </c>
      <c r="N1018" s="28" t="n"/>
    </row>
    <row r="1019">
      <c r="A1019" s="27" t="n"/>
      <c r="B1019" s="28" t="n"/>
      <c r="C1019" s="28" t="n"/>
      <c r="D1019" s="28" t="n"/>
      <c r="E1019" s="29" t="n"/>
      <c r="F1019" s="29" t="n"/>
      <c r="G1019" s="28" t="n"/>
      <c r="H1019" s="28" t="n"/>
      <c r="I1019" s="28" t="n"/>
      <c r="J1019" s="28" t="n"/>
      <c r="K1019" s="24">
        <f>IF(D1019="","",IFERROR(INDEX(Setup!$B$24:$B$59,MATCH(D1019,Setup!$A$24:$A$59,0)),"Check category"))</f>
        <v/>
      </c>
      <c r="L1019" s="25">
        <f>IF(A1019="","",DATE(YEAR(A1019),MONTH(A1019),1))</f>
        <v/>
      </c>
      <c r="M1019" s="26">
        <f>IF(AND(E1019="",F1019=""),"",N(E1019)-N(F1019))</f>
        <v/>
      </c>
      <c r="N1019" s="28" t="n"/>
    </row>
    <row r="1020">
      <c r="A1020" s="27" t="n"/>
      <c r="B1020" s="28" t="n"/>
      <c r="C1020" s="28" t="n"/>
      <c r="D1020" s="28" t="n"/>
      <c r="E1020" s="29" t="n"/>
      <c r="F1020" s="29" t="n"/>
      <c r="G1020" s="28" t="n"/>
      <c r="H1020" s="28" t="n"/>
      <c r="I1020" s="28" t="n"/>
      <c r="J1020" s="28" t="n"/>
      <c r="K1020" s="24">
        <f>IF(D1020="","",IFERROR(INDEX(Setup!$B$24:$B$59,MATCH(D1020,Setup!$A$24:$A$59,0)),"Check category"))</f>
        <v/>
      </c>
      <c r="L1020" s="25">
        <f>IF(A1020="","",DATE(YEAR(A1020),MONTH(A1020),1))</f>
        <v/>
      </c>
      <c r="M1020" s="26">
        <f>IF(AND(E1020="",F1020=""),"",N(E1020)-N(F1020))</f>
        <v/>
      </c>
      <c r="N1020" s="28" t="n"/>
    </row>
    <row r="1021">
      <c r="A1021" s="27" t="n"/>
      <c r="B1021" s="28" t="n"/>
      <c r="C1021" s="28" t="n"/>
      <c r="D1021" s="28" t="n"/>
      <c r="E1021" s="29" t="n"/>
      <c r="F1021" s="29" t="n"/>
      <c r="G1021" s="28" t="n"/>
      <c r="H1021" s="28" t="n"/>
      <c r="I1021" s="28" t="n"/>
      <c r="J1021" s="28" t="n"/>
      <c r="K1021" s="24">
        <f>IF(D1021="","",IFERROR(INDEX(Setup!$B$24:$B$59,MATCH(D1021,Setup!$A$24:$A$59,0)),"Check category"))</f>
        <v/>
      </c>
      <c r="L1021" s="25">
        <f>IF(A1021="","",DATE(YEAR(A1021),MONTH(A1021),1))</f>
        <v/>
      </c>
      <c r="M1021" s="26">
        <f>IF(AND(E1021="",F1021=""),"",N(E1021)-N(F1021))</f>
        <v/>
      </c>
      <c r="N1021" s="28" t="n"/>
    </row>
    <row r="1022">
      <c r="A1022" s="27" t="n"/>
      <c r="B1022" s="28" t="n"/>
      <c r="C1022" s="28" t="n"/>
      <c r="D1022" s="28" t="n"/>
      <c r="E1022" s="29" t="n"/>
      <c r="F1022" s="29" t="n"/>
      <c r="G1022" s="28" t="n"/>
      <c r="H1022" s="28" t="n"/>
      <c r="I1022" s="28" t="n"/>
      <c r="J1022" s="28" t="n"/>
      <c r="K1022" s="24">
        <f>IF(D1022="","",IFERROR(INDEX(Setup!$B$24:$B$59,MATCH(D1022,Setup!$A$24:$A$59,0)),"Check category"))</f>
        <v/>
      </c>
      <c r="L1022" s="25">
        <f>IF(A1022="","",DATE(YEAR(A1022),MONTH(A1022),1))</f>
        <v/>
      </c>
      <c r="M1022" s="26">
        <f>IF(AND(E1022="",F1022=""),"",N(E1022)-N(F1022))</f>
        <v/>
      </c>
      <c r="N1022" s="28" t="n"/>
    </row>
    <row r="1023">
      <c r="A1023" s="27" t="n"/>
      <c r="B1023" s="28" t="n"/>
      <c r="C1023" s="28" t="n"/>
      <c r="D1023" s="28" t="n"/>
      <c r="E1023" s="29" t="n"/>
      <c r="F1023" s="29" t="n"/>
      <c r="G1023" s="28" t="n"/>
      <c r="H1023" s="28" t="n"/>
      <c r="I1023" s="28" t="n"/>
      <c r="J1023" s="28" t="n"/>
      <c r="K1023" s="24">
        <f>IF(D1023="","",IFERROR(INDEX(Setup!$B$24:$B$59,MATCH(D1023,Setup!$A$24:$A$59,0)),"Check category"))</f>
        <v/>
      </c>
      <c r="L1023" s="25">
        <f>IF(A1023="","",DATE(YEAR(A1023),MONTH(A1023),1))</f>
        <v/>
      </c>
      <c r="M1023" s="26">
        <f>IF(AND(E1023="",F1023=""),"",N(E1023)-N(F1023))</f>
        <v/>
      </c>
      <c r="N1023" s="28" t="n"/>
    </row>
    <row r="1024">
      <c r="A1024" s="27" t="n"/>
      <c r="B1024" s="28" t="n"/>
      <c r="C1024" s="28" t="n"/>
      <c r="D1024" s="28" t="n"/>
      <c r="E1024" s="29" t="n"/>
      <c r="F1024" s="29" t="n"/>
      <c r="G1024" s="28" t="n"/>
      <c r="H1024" s="28" t="n"/>
      <c r="I1024" s="28" t="n"/>
      <c r="J1024" s="28" t="n"/>
      <c r="K1024" s="24">
        <f>IF(D1024="","",IFERROR(INDEX(Setup!$B$24:$B$59,MATCH(D1024,Setup!$A$24:$A$59,0)),"Check category"))</f>
        <v/>
      </c>
      <c r="L1024" s="25">
        <f>IF(A1024="","",DATE(YEAR(A1024),MONTH(A1024),1))</f>
        <v/>
      </c>
      <c r="M1024" s="26">
        <f>IF(AND(E1024="",F1024=""),"",N(E1024)-N(F1024))</f>
        <v/>
      </c>
      <c r="N1024" s="28" t="n"/>
    </row>
    <row r="1025">
      <c r="A1025" s="27" t="n"/>
      <c r="B1025" s="28" t="n"/>
      <c r="C1025" s="28" t="n"/>
      <c r="D1025" s="28" t="n"/>
      <c r="E1025" s="29" t="n"/>
      <c r="F1025" s="29" t="n"/>
      <c r="G1025" s="28" t="n"/>
      <c r="H1025" s="28" t="n"/>
      <c r="I1025" s="28" t="n"/>
      <c r="J1025" s="28" t="n"/>
      <c r="K1025" s="24">
        <f>IF(D1025="","",IFERROR(INDEX(Setup!$B$24:$B$59,MATCH(D1025,Setup!$A$24:$A$59,0)),"Check category"))</f>
        <v/>
      </c>
      <c r="L1025" s="25">
        <f>IF(A1025="","",DATE(YEAR(A1025),MONTH(A1025),1))</f>
        <v/>
      </c>
      <c r="M1025" s="26">
        <f>IF(AND(E1025="",F1025=""),"",N(E1025)-N(F1025))</f>
        <v/>
      </c>
      <c r="N1025" s="28" t="n"/>
    </row>
    <row r="1026">
      <c r="A1026" s="27" t="n"/>
      <c r="B1026" s="28" t="n"/>
      <c r="C1026" s="28" t="n"/>
      <c r="D1026" s="28" t="n"/>
      <c r="E1026" s="29" t="n"/>
      <c r="F1026" s="29" t="n"/>
      <c r="G1026" s="28" t="n"/>
      <c r="H1026" s="28" t="n"/>
      <c r="I1026" s="28" t="n"/>
      <c r="J1026" s="28" t="n"/>
      <c r="K1026" s="24">
        <f>IF(D1026="","",IFERROR(INDEX(Setup!$B$24:$B$59,MATCH(D1026,Setup!$A$24:$A$59,0)),"Check category"))</f>
        <v/>
      </c>
      <c r="L1026" s="25">
        <f>IF(A1026="","",DATE(YEAR(A1026),MONTH(A1026),1))</f>
        <v/>
      </c>
      <c r="M1026" s="26">
        <f>IF(AND(E1026="",F1026=""),"",N(E1026)-N(F1026))</f>
        <v/>
      </c>
      <c r="N1026" s="28" t="n"/>
    </row>
    <row r="1027">
      <c r="A1027" s="27" t="n"/>
      <c r="B1027" s="28" t="n"/>
      <c r="C1027" s="28" t="n"/>
      <c r="D1027" s="28" t="n"/>
      <c r="E1027" s="29" t="n"/>
      <c r="F1027" s="29" t="n"/>
      <c r="G1027" s="28" t="n"/>
      <c r="H1027" s="28" t="n"/>
      <c r="I1027" s="28" t="n"/>
      <c r="J1027" s="28" t="n"/>
      <c r="K1027" s="24">
        <f>IF(D1027="","",IFERROR(INDEX(Setup!$B$24:$B$59,MATCH(D1027,Setup!$A$24:$A$59,0)),"Check category"))</f>
        <v/>
      </c>
      <c r="L1027" s="25">
        <f>IF(A1027="","",DATE(YEAR(A1027),MONTH(A1027),1))</f>
        <v/>
      </c>
      <c r="M1027" s="26">
        <f>IF(AND(E1027="",F1027=""),"",N(E1027)-N(F1027))</f>
        <v/>
      </c>
      <c r="N1027" s="28" t="n"/>
    </row>
    <row r="1028">
      <c r="A1028" s="27" t="n"/>
      <c r="B1028" s="28" t="n"/>
      <c r="C1028" s="28" t="n"/>
      <c r="D1028" s="28" t="n"/>
      <c r="E1028" s="29" t="n"/>
      <c r="F1028" s="29" t="n"/>
      <c r="G1028" s="28" t="n"/>
      <c r="H1028" s="28" t="n"/>
      <c r="I1028" s="28" t="n"/>
      <c r="J1028" s="28" t="n"/>
      <c r="K1028" s="24">
        <f>IF(D1028="","",IFERROR(INDEX(Setup!$B$24:$B$59,MATCH(D1028,Setup!$A$24:$A$59,0)),"Check category"))</f>
        <v/>
      </c>
      <c r="L1028" s="25">
        <f>IF(A1028="","",DATE(YEAR(A1028),MONTH(A1028),1))</f>
        <v/>
      </c>
      <c r="M1028" s="26">
        <f>IF(AND(E1028="",F1028=""),"",N(E1028)-N(F1028))</f>
        <v/>
      </c>
      <c r="N1028" s="28" t="n"/>
    </row>
    <row r="1029">
      <c r="A1029" s="27" t="n"/>
      <c r="B1029" s="28" t="n"/>
      <c r="C1029" s="28" t="n"/>
      <c r="D1029" s="28" t="n"/>
      <c r="E1029" s="29" t="n"/>
      <c r="F1029" s="29" t="n"/>
      <c r="G1029" s="28" t="n"/>
      <c r="H1029" s="28" t="n"/>
      <c r="I1029" s="28" t="n"/>
      <c r="J1029" s="28" t="n"/>
      <c r="K1029" s="24">
        <f>IF(D1029="","",IFERROR(INDEX(Setup!$B$24:$B$59,MATCH(D1029,Setup!$A$24:$A$59,0)),"Check category"))</f>
        <v/>
      </c>
      <c r="L1029" s="25">
        <f>IF(A1029="","",DATE(YEAR(A1029),MONTH(A1029),1))</f>
        <v/>
      </c>
      <c r="M1029" s="26">
        <f>IF(AND(E1029="",F1029=""),"",N(E1029)-N(F1029))</f>
        <v/>
      </c>
      <c r="N1029" s="28" t="n"/>
    </row>
    <row r="1030">
      <c r="A1030" s="27" t="n"/>
      <c r="B1030" s="28" t="n"/>
      <c r="C1030" s="28" t="n"/>
      <c r="D1030" s="28" t="n"/>
      <c r="E1030" s="29" t="n"/>
      <c r="F1030" s="29" t="n"/>
      <c r="G1030" s="28" t="n"/>
      <c r="H1030" s="28" t="n"/>
      <c r="I1030" s="28" t="n"/>
      <c r="J1030" s="28" t="n"/>
      <c r="K1030" s="24">
        <f>IF(D1030="","",IFERROR(INDEX(Setup!$B$24:$B$59,MATCH(D1030,Setup!$A$24:$A$59,0)),"Check category"))</f>
        <v/>
      </c>
      <c r="L1030" s="25">
        <f>IF(A1030="","",DATE(YEAR(A1030),MONTH(A1030),1))</f>
        <v/>
      </c>
      <c r="M1030" s="26">
        <f>IF(AND(E1030="",F1030=""),"",N(E1030)-N(F1030))</f>
        <v/>
      </c>
      <c r="N1030" s="28" t="n"/>
    </row>
    <row r="1031">
      <c r="A1031" s="27" t="n"/>
      <c r="B1031" s="28" t="n"/>
      <c r="C1031" s="28" t="n"/>
      <c r="D1031" s="28" t="n"/>
      <c r="E1031" s="29" t="n"/>
      <c r="F1031" s="29" t="n"/>
      <c r="G1031" s="28" t="n"/>
      <c r="H1031" s="28" t="n"/>
      <c r="I1031" s="28" t="n"/>
      <c r="J1031" s="28" t="n"/>
      <c r="K1031" s="24">
        <f>IF(D1031="","",IFERROR(INDEX(Setup!$B$24:$B$59,MATCH(D1031,Setup!$A$24:$A$59,0)),"Check category"))</f>
        <v/>
      </c>
      <c r="L1031" s="25">
        <f>IF(A1031="","",DATE(YEAR(A1031),MONTH(A1031),1))</f>
        <v/>
      </c>
      <c r="M1031" s="26">
        <f>IF(AND(E1031="",F1031=""),"",N(E1031)-N(F1031))</f>
        <v/>
      </c>
      <c r="N1031" s="28" t="n"/>
    </row>
    <row r="1032">
      <c r="A1032" s="27" t="n"/>
      <c r="B1032" s="28" t="n"/>
      <c r="C1032" s="28" t="n"/>
      <c r="D1032" s="28" t="n"/>
      <c r="E1032" s="29" t="n"/>
      <c r="F1032" s="29" t="n"/>
      <c r="G1032" s="28" t="n"/>
      <c r="H1032" s="28" t="n"/>
      <c r="I1032" s="28" t="n"/>
      <c r="J1032" s="28" t="n"/>
      <c r="K1032" s="24">
        <f>IF(D1032="","",IFERROR(INDEX(Setup!$B$24:$B$59,MATCH(D1032,Setup!$A$24:$A$59,0)),"Check category"))</f>
        <v/>
      </c>
      <c r="L1032" s="25">
        <f>IF(A1032="","",DATE(YEAR(A1032),MONTH(A1032),1))</f>
        <v/>
      </c>
      <c r="M1032" s="26">
        <f>IF(AND(E1032="",F1032=""),"",N(E1032)-N(F1032))</f>
        <v/>
      </c>
      <c r="N1032" s="28" t="n"/>
    </row>
    <row r="1033">
      <c r="A1033" s="27" t="n"/>
      <c r="B1033" s="28" t="n"/>
      <c r="C1033" s="28" t="n"/>
      <c r="D1033" s="28" t="n"/>
      <c r="E1033" s="29" t="n"/>
      <c r="F1033" s="29" t="n"/>
      <c r="G1033" s="28" t="n"/>
      <c r="H1033" s="28" t="n"/>
      <c r="I1033" s="28" t="n"/>
      <c r="J1033" s="28" t="n"/>
      <c r="K1033" s="24">
        <f>IF(D1033="","",IFERROR(INDEX(Setup!$B$24:$B$59,MATCH(D1033,Setup!$A$24:$A$59,0)),"Check category"))</f>
        <v/>
      </c>
      <c r="L1033" s="25">
        <f>IF(A1033="","",DATE(YEAR(A1033),MONTH(A1033),1))</f>
        <v/>
      </c>
      <c r="M1033" s="26">
        <f>IF(AND(E1033="",F1033=""),"",N(E1033)-N(F1033))</f>
        <v/>
      </c>
      <c r="N1033" s="28" t="n"/>
    </row>
    <row r="1034">
      <c r="A1034" s="27" t="n"/>
      <c r="B1034" s="28" t="n"/>
      <c r="C1034" s="28" t="n"/>
      <c r="D1034" s="28" t="n"/>
      <c r="E1034" s="29" t="n"/>
      <c r="F1034" s="29" t="n"/>
      <c r="G1034" s="28" t="n"/>
      <c r="H1034" s="28" t="n"/>
      <c r="I1034" s="28" t="n"/>
      <c r="J1034" s="28" t="n"/>
      <c r="K1034" s="24">
        <f>IF(D1034="","",IFERROR(INDEX(Setup!$B$24:$B$59,MATCH(D1034,Setup!$A$24:$A$59,0)),"Check category"))</f>
        <v/>
      </c>
      <c r="L1034" s="25">
        <f>IF(A1034="","",DATE(YEAR(A1034),MONTH(A1034),1))</f>
        <v/>
      </c>
      <c r="M1034" s="26">
        <f>IF(AND(E1034="",F1034=""),"",N(E1034)-N(F1034))</f>
        <v/>
      </c>
      <c r="N1034" s="28" t="n"/>
    </row>
    <row r="1035">
      <c r="A1035" s="27" t="n"/>
      <c r="B1035" s="28" t="n"/>
      <c r="C1035" s="28" t="n"/>
      <c r="D1035" s="28" t="n"/>
      <c r="E1035" s="29" t="n"/>
      <c r="F1035" s="29" t="n"/>
      <c r="G1035" s="28" t="n"/>
      <c r="H1035" s="28" t="n"/>
      <c r="I1035" s="28" t="n"/>
      <c r="J1035" s="28" t="n"/>
      <c r="K1035" s="24">
        <f>IF(D1035="","",IFERROR(INDEX(Setup!$B$24:$B$59,MATCH(D1035,Setup!$A$24:$A$59,0)),"Check category"))</f>
        <v/>
      </c>
      <c r="L1035" s="25">
        <f>IF(A1035="","",DATE(YEAR(A1035),MONTH(A1035),1))</f>
        <v/>
      </c>
      <c r="M1035" s="26">
        <f>IF(AND(E1035="",F1035=""),"",N(E1035)-N(F1035))</f>
        <v/>
      </c>
      <c r="N1035" s="28" t="n"/>
    </row>
    <row r="1036">
      <c r="A1036" s="27" t="n"/>
      <c r="B1036" s="28" t="n"/>
      <c r="C1036" s="28" t="n"/>
      <c r="D1036" s="28" t="n"/>
      <c r="E1036" s="29" t="n"/>
      <c r="F1036" s="29" t="n"/>
      <c r="G1036" s="28" t="n"/>
      <c r="H1036" s="28" t="n"/>
      <c r="I1036" s="28" t="n"/>
      <c r="J1036" s="28" t="n"/>
      <c r="K1036" s="24">
        <f>IF(D1036="","",IFERROR(INDEX(Setup!$B$24:$B$59,MATCH(D1036,Setup!$A$24:$A$59,0)),"Check category"))</f>
        <v/>
      </c>
      <c r="L1036" s="25">
        <f>IF(A1036="","",DATE(YEAR(A1036),MONTH(A1036),1))</f>
        <v/>
      </c>
      <c r="M1036" s="26">
        <f>IF(AND(E1036="",F1036=""),"",N(E1036)-N(F1036))</f>
        <v/>
      </c>
      <c r="N1036" s="28" t="n"/>
    </row>
    <row r="1037">
      <c r="A1037" s="27" t="n"/>
      <c r="B1037" s="28" t="n"/>
      <c r="C1037" s="28" t="n"/>
      <c r="D1037" s="28" t="n"/>
      <c r="E1037" s="29" t="n"/>
      <c r="F1037" s="29" t="n"/>
      <c r="G1037" s="28" t="n"/>
      <c r="H1037" s="28" t="n"/>
      <c r="I1037" s="28" t="n"/>
      <c r="J1037" s="28" t="n"/>
      <c r="K1037" s="24">
        <f>IF(D1037="","",IFERROR(INDEX(Setup!$B$24:$B$59,MATCH(D1037,Setup!$A$24:$A$59,0)),"Check category"))</f>
        <v/>
      </c>
      <c r="L1037" s="25">
        <f>IF(A1037="","",DATE(YEAR(A1037),MONTH(A1037),1))</f>
        <v/>
      </c>
      <c r="M1037" s="26">
        <f>IF(AND(E1037="",F1037=""),"",N(E1037)-N(F1037))</f>
        <v/>
      </c>
      <c r="N1037" s="28" t="n"/>
    </row>
    <row r="1038">
      <c r="A1038" s="27" t="n"/>
      <c r="B1038" s="28" t="n"/>
      <c r="C1038" s="28" t="n"/>
      <c r="D1038" s="28" t="n"/>
      <c r="E1038" s="29" t="n"/>
      <c r="F1038" s="29" t="n"/>
      <c r="G1038" s="28" t="n"/>
      <c r="H1038" s="28" t="n"/>
      <c r="I1038" s="28" t="n"/>
      <c r="J1038" s="28" t="n"/>
      <c r="K1038" s="24">
        <f>IF(D1038="","",IFERROR(INDEX(Setup!$B$24:$B$59,MATCH(D1038,Setup!$A$24:$A$59,0)),"Check category"))</f>
        <v/>
      </c>
      <c r="L1038" s="25">
        <f>IF(A1038="","",DATE(YEAR(A1038),MONTH(A1038),1))</f>
        <v/>
      </c>
      <c r="M1038" s="26">
        <f>IF(AND(E1038="",F1038=""),"",N(E1038)-N(F1038))</f>
        <v/>
      </c>
      <c r="N1038" s="28" t="n"/>
    </row>
    <row r="1039">
      <c r="A1039" s="27" t="n"/>
      <c r="B1039" s="28" t="n"/>
      <c r="C1039" s="28" t="n"/>
      <c r="D1039" s="28" t="n"/>
      <c r="E1039" s="29" t="n"/>
      <c r="F1039" s="29" t="n"/>
      <c r="G1039" s="28" t="n"/>
      <c r="H1039" s="28" t="n"/>
      <c r="I1039" s="28" t="n"/>
      <c r="J1039" s="28" t="n"/>
      <c r="K1039" s="24">
        <f>IF(D1039="","",IFERROR(INDEX(Setup!$B$24:$B$59,MATCH(D1039,Setup!$A$24:$A$59,0)),"Check category"))</f>
        <v/>
      </c>
      <c r="L1039" s="25">
        <f>IF(A1039="","",DATE(YEAR(A1039),MONTH(A1039),1))</f>
        <v/>
      </c>
      <c r="M1039" s="26">
        <f>IF(AND(E1039="",F1039=""),"",N(E1039)-N(F1039))</f>
        <v/>
      </c>
      <c r="N1039" s="28" t="n"/>
    </row>
    <row r="1040">
      <c r="A1040" s="27" t="n"/>
      <c r="B1040" s="28" t="n"/>
      <c r="C1040" s="28" t="n"/>
      <c r="D1040" s="28" t="n"/>
      <c r="E1040" s="29" t="n"/>
      <c r="F1040" s="29" t="n"/>
      <c r="G1040" s="28" t="n"/>
      <c r="H1040" s="28" t="n"/>
      <c r="I1040" s="28" t="n"/>
      <c r="J1040" s="28" t="n"/>
      <c r="K1040" s="24">
        <f>IF(D1040="","",IFERROR(INDEX(Setup!$B$24:$B$59,MATCH(D1040,Setup!$A$24:$A$59,0)),"Check category"))</f>
        <v/>
      </c>
      <c r="L1040" s="25">
        <f>IF(A1040="","",DATE(YEAR(A1040),MONTH(A1040),1))</f>
        <v/>
      </c>
      <c r="M1040" s="26">
        <f>IF(AND(E1040="",F1040=""),"",N(E1040)-N(F1040))</f>
        <v/>
      </c>
      <c r="N1040" s="28" t="n"/>
    </row>
    <row r="1041">
      <c r="A1041" s="27" t="n"/>
      <c r="B1041" s="28" t="n"/>
      <c r="C1041" s="28" t="n"/>
      <c r="D1041" s="28" t="n"/>
      <c r="E1041" s="29" t="n"/>
      <c r="F1041" s="29" t="n"/>
      <c r="G1041" s="28" t="n"/>
      <c r="H1041" s="28" t="n"/>
      <c r="I1041" s="28" t="n"/>
      <c r="J1041" s="28" t="n"/>
      <c r="K1041" s="24">
        <f>IF(D1041="","",IFERROR(INDEX(Setup!$B$24:$B$59,MATCH(D1041,Setup!$A$24:$A$59,0)),"Check category"))</f>
        <v/>
      </c>
      <c r="L1041" s="25">
        <f>IF(A1041="","",DATE(YEAR(A1041),MONTH(A1041),1))</f>
        <v/>
      </c>
      <c r="M1041" s="26">
        <f>IF(AND(E1041="",F1041=""),"",N(E1041)-N(F1041))</f>
        <v/>
      </c>
      <c r="N1041" s="28" t="n"/>
    </row>
    <row r="1042">
      <c r="A1042" s="27" t="n"/>
      <c r="B1042" s="28" t="n"/>
      <c r="C1042" s="28" t="n"/>
      <c r="D1042" s="28" t="n"/>
      <c r="E1042" s="29" t="n"/>
      <c r="F1042" s="29" t="n"/>
      <c r="G1042" s="28" t="n"/>
      <c r="H1042" s="28" t="n"/>
      <c r="I1042" s="28" t="n"/>
      <c r="J1042" s="28" t="n"/>
      <c r="K1042" s="24">
        <f>IF(D1042="","",IFERROR(INDEX(Setup!$B$24:$B$59,MATCH(D1042,Setup!$A$24:$A$59,0)),"Check category"))</f>
        <v/>
      </c>
      <c r="L1042" s="25">
        <f>IF(A1042="","",DATE(YEAR(A1042),MONTH(A1042),1))</f>
        <v/>
      </c>
      <c r="M1042" s="26">
        <f>IF(AND(E1042="",F1042=""),"",N(E1042)-N(F1042))</f>
        <v/>
      </c>
      <c r="N1042" s="28" t="n"/>
    </row>
    <row r="1043">
      <c r="A1043" s="27" t="n"/>
      <c r="B1043" s="28" t="n"/>
      <c r="C1043" s="28" t="n"/>
      <c r="D1043" s="28" t="n"/>
      <c r="E1043" s="29" t="n"/>
      <c r="F1043" s="29" t="n"/>
      <c r="G1043" s="28" t="n"/>
      <c r="H1043" s="28" t="n"/>
      <c r="I1043" s="28" t="n"/>
      <c r="J1043" s="28" t="n"/>
      <c r="K1043" s="24">
        <f>IF(D1043="","",IFERROR(INDEX(Setup!$B$24:$B$59,MATCH(D1043,Setup!$A$24:$A$59,0)),"Check category"))</f>
        <v/>
      </c>
      <c r="L1043" s="25">
        <f>IF(A1043="","",DATE(YEAR(A1043),MONTH(A1043),1))</f>
        <v/>
      </c>
      <c r="M1043" s="26">
        <f>IF(AND(E1043="",F1043=""),"",N(E1043)-N(F1043))</f>
        <v/>
      </c>
      <c r="N1043" s="28" t="n"/>
    </row>
    <row r="1044">
      <c r="A1044" s="27" t="n"/>
      <c r="B1044" s="28" t="n"/>
      <c r="C1044" s="28" t="n"/>
      <c r="D1044" s="28" t="n"/>
      <c r="E1044" s="29" t="n"/>
      <c r="F1044" s="29" t="n"/>
      <c r="G1044" s="28" t="n"/>
      <c r="H1044" s="28" t="n"/>
      <c r="I1044" s="28" t="n"/>
      <c r="J1044" s="28" t="n"/>
      <c r="K1044" s="24">
        <f>IF(D1044="","",IFERROR(INDEX(Setup!$B$24:$B$59,MATCH(D1044,Setup!$A$24:$A$59,0)),"Check category"))</f>
        <v/>
      </c>
      <c r="L1044" s="25">
        <f>IF(A1044="","",DATE(YEAR(A1044),MONTH(A1044),1))</f>
        <v/>
      </c>
      <c r="M1044" s="26">
        <f>IF(AND(E1044="",F1044=""),"",N(E1044)-N(F1044))</f>
        <v/>
      </c>
      <c r="N1044" s="28" t="n"/>
    </row>
    <row r="1045">
      <c r="A1045" s="27" t="n"/>
      <c r="B1045" s="28" t="n"/>
      <c r="C1045" s="28" t="n"/>
      <c r="D1045" s="28" t="n"/>
      <c r="E1045" s="29" t="n"/>
      <c r="F1045" s="29" t="n"/>
      <c r="G1045" s="28" t="n"/>
      <c r="H1045" s="28" t="n"/>
      <c r="I1045" s="28" t="n"/>
      <c r="J1045" s="28" t="n"/>
      <c r="K1045" s="24">
        <f>IF(D1045="","",IFERROR(INDEX(Setup!$B$24:$B$59,MATCH(D1045,Setup!$A$24:$A$59,0)),"Check category"))</f>
        <v/>
      </c>
      <c r="L1045" s="25">
        <f>IF(A1045="","",DATE(YEAR(A1045),MONTH(A1045),1))</f>
        <v/>
      </c>
      <c r="M1045" s="26">
        <f>IF(AND(E1045="",F1045=""),"",N(E1045)-N(F1045))</f>
        <v/>
      </c>
      <c r="N1045" s="28" t="n"/>
    </row>
    <row r="1046">
      <c r="A1046" s="27" t="n"/>
      <c r="B1046" s="28" t="n"/>
      <c r="C1046" s="28" t="n"/>
      <c r="D1046" s="28" t="n"/>
      <c r="E1046" s="29" t="n"/>
      <c r="F1046" s="29" t="n"/>
      <c r="G1046" s="28" t="n"/>
      <c r="H1046" s="28" t="n"/>
      <c r="I1046" s="28" t="n"/>
      <c r="J1046" s="28" t="n"/>
      <c r="K1046" s="24">
        <f>IF(D1046="","",IFERROR(INDEX(Setup!$B$24:$B$59,MATCH(D1046,Setup!$A$24:$A$59,0)),"Check category"))</f>
        <v/>
      </c>
      <c r="L1046" s="25">
        <f>IF(A1046="","",DATE(YEAR(A1046),MONTH(A1046),1))</f>
        <v/>
      </c>
      <c r="M1046" s="26">
        <f>IF(AND(E1046="",F1046=""),"",N(E1046)-N(F1046))</f>
        <v/>
      </c>
      <c r="N1046" s="28" t="n"/>
    </row>
    <row r="1047">
      <c r="A1047" s="27" t="n"/>
      <c r="B1047" s="28" t="n"/>
      <c r="C1047" s="28" t="n"/>
      <c r="D1047" s="28" t="n"/>
      <c r="E1047" s="29" t="n"/>
      <c r="F1047" s="29" t="n"/>
      <c r="G1047" s="28" t="n"/>
      <c r="H1047" s="28" t="n"/>
      <c r="I1047" s="28" t="n"/>
      <c r="J1047" s="28" t="n"/>
      <c r="K1047" s="24">
        <f>IF(D1047="","",IFERROR(INDEX(Setup!$B$24:$B$59,MATCH(D1047,Setup!$A$24:$A$59,0)),"Check category"))</f>
        <v/>
      </c>
      <c r="L1047" s="25">
        <f>IF(A1047="","",DATE(YEAR(A1047),MONTH(A1047),1))</f>
        <v/>
      </c>
      <c r="M1047" s="26">
        <f>IF(AND(E1047="",F1047=""),"",N(E1047)-N(F1047))</f>
        <v/>
      </c>
      <c r="N1047" s="28" t="n"/>
    </row>
    <row r="1048">
      <c r="A1048" s="27" t="n"/>
      <c r="B1048" s="28" t="n"/>
      <c r="C1048" s="28" t="n"/>
      <c r="D1048" s="28" t="n"/>
      <c r="E1048" s="29" t="n"/>
      <c r="F1048" s="29" t="n"/>
      <c r="G1048" s="28" t="n"/>
      <c r="H1048" s="28" t="n"/>
      <c r="I1048" s="28" t="n"/>
      <c r="J1048" s="28" t="n"/>
      <c r="K1048" s="24">
        <f>IF(D1048="","",IFERROR(INDEX(Setup!$B$24:$B$59,MATCH(D1048,Setup!$A$24:$A$59,0)),"Check category"))</f>
        <v/>
      </c>
      <c r="L1048" s="25">
        <f>IF(A1048="","",DATE(YEAR(A1048),MONTH(A1048),1))</f>
        <v/>
      </c>
      <c r="M1048" s="26">
        <f>IF(AND(E1048="",F1048=""),"",N(E1048)-N(F1048))</f>
        <v/>
      </c>
      <c r="N1048" s="28" t="n"/>
    </row>
    <row r="1049">
      <c r="A1049" s="27" t="n"/>
      <c r="B1049" s="28" t="n"/>
      <c r="C1049" s="28" t="n"/>
      <c r="D1049" s="28" t="n"/>
      <c r="E1049" s="29" t="n"/>
      <c r="F1049" s="29" t="n"/>
      <c r="G1049" s="28" t="n"/>
      <c r="H1049" s="28" t="n"/>
      <c r="I1049" s="28" t="n"/>
      <c r="J1049" s="28" t="n"/>
      <c r="K1049" s="24">
        <f>IF(D1049="","",IFERROR(INDEX(Setup!$B$24:$B$59,MATCH(D1049,Setup!$A$24:$A$59,0)),"Check category"))</f>
        <v/>
      </c>
      <c r="L1049" s="25">
        <f>IF(A1049="","",DATE(YEAR(A1049),MONTH(A1049),1))</f>
        <v/>
      </c>
      <c r="M1049" s="26">
        <f>IF(AND(E1049="",F1049=""),"",N(E1049)-N(F1049))</f>
        <v/>
      </c>
      <c r="N1049" s="28" t="n"/>
    </row>
    <row r="1050">
      <c r="A1050" s="27" t="n"/>
      <c r="B1050" s="28" t="n"/>
      <c r="C1050" s="28" t="n"/>
      <c r="D1050" s="28" t="n"/>
      <c r="E1050" s="29" t="n"/>
      <c r="F1050" s="29" t="n"/>
      <c r="G1050" s="28" t="n"/>
      <c r="H1050" s="28" t="n"/>
      <c r="I1050" s="28" t="n"/>
      <c r="J1050" s="28" t="n"/>
      <c r="K1050" s="24">
        <f>IF(D1050="","",IFERROR(INDEX(Setup!$B$24:$B$59,MATCH(D1050,Setup!$A$24:$A$59,0)),"Check category"))</f>
        <v/>
      </c>
      <c r="L1050" s="25">
        <f>IF(A1050="","",DATE(YEAR(A1050),MONTH(A1050),1))</f>
        <v/>
      </c>
      <c r="M1050" s="26">
        <f>IF(AND(E1050="",F1050=""),"",N(E1050)-N(F1050))</f>
        <v/>
      </c>
      <c r="N1050" s="28" t="n"/>
    </row>
    <row r="1051">
      <c r="A1051" s="27" t="n"/>
      <c r="B1051" s="28" t="n"/>
      <c r="C1051" s="28" t="n"/>
      <c r="D1051" s="28" t="n"/>
      <c r="E1051" s="29" t="n"/>
      <c r="F1051" s="29" t="n"/>
      <c r="G1051" s="28" t="n"/>
      <c r="H1051" s="28" t="n"/>
      <c r="I1051" s="28" t="n"/>
      <c r="J1051" s="28" t="n"/>
      <c r="K1051" s="24">
        <f>IF(D1051="","",IFERROR(INDEX(Setup!$B$24:$B$59,MATCH(D1051,Setup!$A$24:$A$59,0)),"Check category"))</f>
        <v/>
      </c>
      <c r="L1051" s="25">
        <f>IF(A1051="","",DATE(YEAR(A1051),MONTH(A1051),1))</f>
        <v/>
      </c>
      <c r="M1051" s="26">
        <f>IF(AND(E1051="",F1051=""),"",N(E1051)-N(F1051))</f>
        <v/>
      </c>
      <c r="N1051" s="28" t="n"/>
    </row>
    <row r="1052">
      <c r="A1052" s="27" t="n"/>
      <c r="B1052" s="28" t="n"/>
      <c r="C1052" s="28" t="n"/>
      <c r="D1052" s="28" t="n"/>
      <c r="E1052" s="29" t="n"/>
      <c r="F1052" s="29" t="n"/>
      <c r="G1052" s="28" t="n"/>
      <c r="H1052" s="28" t="n"/>
      <c r="I1052" s="28" t="n"/>
      <c r="J1052" s="28" t="n"/>
      <c r="K1052" s="24">
        <f>IF(D1052="","",IFERROR(INDEX(Setup!$B$24:$B$59,MATCH(D1052,Setup!$A$24:$A$59,0)),"Check category"))</f>
        <v/>
      </c>
      <c r="L1052" s="25">
        <f>IF(A1052="","",DATE(YEAR(A1052),MONTH(A1052),1))</f>
        <v/>
      </c>
      <c r="M1052" s="26">
        <f>IF(AND(E1052="",F1052=""),"",N(E1052)-N(F1052))</f>
        <v/>
      </c>
      <c r="N1052" s="28" t="n"/>
    </row>
    <row r="1053">
      <c r="A1053" s="27" t="n"/>
      <c r="B1053" s="28" t="n"/>
      <c r="C1053" s="28" t="n"/>
      <c r="D1053" s="28" t="n"/>
      <c r="E1053" s="29" t="n"/>
      <c r="F1053" s="29" t="n"/>
      <c r="G1053" s="28" t="n"/>
      <c r="H1053" s="28" t="n"/>
      <c r="I1053" s="28" t="n"/>
      <c r="J1053" s="28" t="n"/>
      <c r="K1053" s="24">
        <f>IF(D1053="","",IFERROR(INDEX(Setup!$B$24:$B$59,MATCH(D1053,Setup!$A$24:$A$59,0)),"Check category"))</f>
        <v/>
      </c>
      <c r="L1053" s="25">
        <f>IF(A1053="","",DATE(YEAR(A1053),MONTH(A1053),1))</f>
        <v/>
      </c>
      <c r="M1053" s="26">
        <f>IF(AND(E1053="",F1053=""),"",N(E1053)-N(F1053))</f>
        <v/>
      </c>
      <c r="N1053" s="28" t="n"/>
    </row>
    <row r="1054">
      <c r="A1054" s="27" t="n"/>
      <c r="B1054" s="28" t="n"/>
      <c r="C1054" s="28" t="n"/>
      <c r="D1054" s="28" t="n"/>
      <c r="E1054" s="29" t="n"/>
      <c r="F1054" s="29" t="n"/>
      <c r="G1054" s="28" t="n"/>
      <c r="H1054" s="28" t="n"/>
      <c r="I1054" s="28" t="n"/>
      <c r="J1054" s="28" t="n"/>
      <c r="K1054" s="24">
        <f>IF(D1054="","",IFERROR(INDEX(Setup!$B$24:$B$59,MATCH(D1054,Setup!$A$24:$A$59,0)),"Check category"))</f>
        <v/>
      </c>
      <c r="L1054" s="25">
        <f>IF(A1054="","",DATE(YEAR(A1054),MONTH(A1054),1))</f>
        <v/>
      </c>
      <c r="M1054" s="26">
        <f>IF(AND(E1054="",F1054=""),"",N(E1054)-N(F1054))</f>
        <v/>
      </c>
      <c r="N1054" s="28" t="n"/>
    </row>
    <row r="1055">
      <c r="A1055" s="27" t="n"/>
      <c r="B1055" s="28" t="n"/>
      <c r="C1055" s="28" t="n"/>
      <c r="D1055" s="28" t="n"/>
      <c r="E1055" s="29" t="n"/>
      <c r="F1055" s="29" t="n"/>
      <c r="G1055" s="28" t="n"/>
      <c r="H1055" s="28" t="n"/>
      <c r="I1055" s="28" t="n"/>
      <c r="J1055" s="28" t="n"/>
      <c r="K1055" s="24">
        <f>IF(D1055="","",IFERROR(INDEX(Setup!$B$24:$B$59,MATCH(D1055,Setup!$A$24:$A$59,0)),"Check category"))</f>
        <v/>
      </c>
      <c r="L1055" s="25">
        <f>IF(A1055="","",DATE(YEAR(A1055),MONTH(A1055),1))</f>
        <v/>
      </c>
      <c r="M1055" s="26">
        <f>IF(AND(E1055="",F1055=""),"",N(E1055)-N(F1055))</f>
        <v/>
      </c>
      <c r="N1055" s="28" t="n"/>
    </row>
    <row r="1056">
      <c r="A1056" s="27" t="n"/>
      <c r="B1056" s="28" t="n"/>
      <c r="C1056" s="28" t="n"/>
      <c r="D1056" s="28" t="n"/>
      <c r="E1056" s="29" t="n"/>
      <c r="F1056" s="29" t="n"/>
      <c r="G1056" s="28" t="n"/>
      <c r="H1056" s="28" t="n"/>
      <c r="I1056" s="28" t="n"/>
      <c r="J1056" s="28" t="n"/>
      <c r="K1056" s="24">
        <f>IF(D1056="","",IFERROR(INDEX(Setup!$B$24:$B$59,MATCH(D1056,Setup!$A$24:$A$59,0)),"Check category"))</f>
        <v/>
      </c>
      <c r="L1056" s="25">
        <f>IF(A1056="","",DATE(YEAR(A1056),MONTH(A1056),1))</f>
        <v/>
      </c>
      <c r="M1056" s="26">
        <f>IF(AND(E1056="",F1056=""),"",N(E1056)-N(F1056))</f>
        <v/>
      </c>
      <c r="N1056" s="28" t="n"/>
    </row>
    <row r="1057">
      <c r="A1057" s="27" t="n"/>
      <c r="B1057" s="28" t="n"/>
      <c r="C1057" s="28" t="n"/>
      <c r="D1057" s="28" t="n"/>
      <c r="E1057" s="29" t="n"/>
      <c r="F1057" s="29" t="n"/>
      <c r="G1057" s="28" t="n"/>
      <c r="H1057" s="28" t="n"/>
      <c r="I1057" s="28" t="n"/>
      <c r="J1057" s="28" t="n"/>
      <c r="K1057" s="24">
        <f>IF(D1057="","",IFERROR(INDEX(Setup!$B$24:$B$59,MATCH(D1057,Setup!$A$24:$A$59,0)),"Check category"))</f>
        <v/>
      </c>
      <c r="L1057" s="25">
        <f>IF(A1057="","",DATE(YEAR(A1057),MONTH(A1057),1))</f>
        <v/>
      </c>
      <c r="M1057" s="26">
        <f>IF(AND(E1057="",F1057=""),"",N(E1057)-N(F1057))</f>
        <v/>
      </c>
      <c r="N1057" s="28" t="n"/>
    </row>
    <row r="1058">
      <c r="A1058" s="27" t="n"/>
      <c r="B1058" s="28" t="n"/>
      <c r="C1058" s="28" t="n"/>
      <c r="D1058" s="28" t="n"/>
      <c r="E1058" s="29" t="n"/>
      <c r="F1058" s="29" t="n"/>
      <c r="G1058" s="28" t="n"/>
      <c r="H1058" s="28" t="n"/>
      <c r="I1058" s="28" t="n"/>
      <c r="J1058" s="28" t="n"/>
      <c r="K1058" s="24">
        <f>IF(D1058="","",IFERROR(INDEX(Setup!$B$24:$B$59,MATCH(D1058,Setup!$A$24:$A$59,0)),"Check category"))</f>
        <v/>
      </c>
      <c r="L1058" s="25">
        <f>IF(A1058="","",DATE(YEAR(A1058),MONTH(A1058),1))</f>
        <v/>
      </c>
      <c r="M1058" s="26">
        <f>IF(AND(E1058="",F1058=""),"",N(E1058)-N(F1058))</f>
        <v/>
      </c>
      <c r="N1058" s="28" t="n"/>
    </row>
    <row r="1059">
      <c r="A1059" s="27" t="n"/>
      <c r="B1059" s="28" t="n"/>
      <c r="C1059" s="28" t="n"/>
      <c r="D1059" s="28" t="n"/>
      <c r="E1059" s="29" t="n"/>
      <c r="F1059" s="29" t="n"/>
      <c r="G1059" s="28" t="n"/>
      <c r="H1059" s="28" t="n"/>
      <c r="I1059" s="28" t="n"/>
      <c r="J1059" s="28" t="n"/>
      <c r="K1059" s="24">
        <f>IF(D1059="","",IFERROR(INDEX(Setup!$B$24:$B$59,MATCH(D1059,Setup!$A$24:$A$59,0)),"Check category"))</f>
        <v/>
      </c>
      <c r="L1059" s="25">
        <f>IF(A1059="","",DATE(YEAR(A1059),MONTH(A1059),1))</f>
        <v/>
      </c>
      <c r="M1059" s="26">
        <f>IF(AND(E1059="",F1059=""),"",N(E1059)-N(F1059))</f>
        <v/>
      </c>
      <c r="N1059" s="28" t="n"/>
    </row>
    <row r="1060">
      <c r="A1060" s="27" t="n"/>
      <c r="B1060" s="28" t="n"/>
      <c r="C1060" s="28" t="n"/>
      <c r="D1060" s="28" t="n"/>
      <c r="E1060" s="29" t="n"/>
      <c r="F1060" s="29" t="n"/>
      <c r="G1060" s="28" t="n"/>
      <c r="H1060" s="28" t="n"/>
      <c r="I1060" s="28" t="n"/>
      <c r="J1060" s="28" t="n"/>
      <c r="K1060" s="24">
        <f>IF(D1060="","",IFERROR(INDEX(Setup!$B$24:$B$59,MATCH(D1060,Setup!$A$24:$A$59,0)),"Check category"))</f>
        <v/>
      </c>
      <c r="L1060" s="25">
        <f>IF(A1060="","",DATE(YEAR(A1060),MONTH(A1060),1))</f>
        <v/>
      </c>
      <c r="M1060" s="26">
        <f>IF(AND(E1060="",F1060=""),"",N(E1060)-N(F1060))</f>
        <v/>
      </c>
      <c r="N1060" s="28" t="n"/>
    </row>
    <row r="1061">
      <c r="A1061" s="27" t="n"/>
      <c r="B1061" s="28" t="n"/>
      <c r="C1061" s="28" t="n"/>
      <c r="D1061" s="28" t="n"/>
      <c r="E1061" s="29" t="n"/>
      <c r="F1061" s="29" t="n"/>
      <c r="G1061" s="28" t="n"/>
      <c r="H1061" s="28" t="n"/>
      <c r="I1061" s="28" t="n"/>
      <c r="J1061" s="28" t="n"/>
      <c r="K1061" s="24">
        <f>IF(D1061="","",IFERROR(INDEX(Setup!$B$24:$B$59,MATCH(D1061,Setup!$A$24:$A$59,0)),"Check category"))</f>
        <v/>
      </c>
      <c r="L1061" s="25">
        <f>IF(A1061="","",DATE(YEAR(A1061),MONTH(A1061),1))</f>
        <v/>
      </c>
      <c r="M1061" s="26">
        <f>IF(AND(E1061="",F1061=""),"",N(E1061)-N(F1061))</f>
        <v/>
      </c>
      <c r="N1061" s="28" t="n"/>
    </row>
    <row r="1062">
      <c r="A1062" s="27" t="n"/>
      <c r="B1062" s="28" t="n"/>
      <c r="C1062" s="28" t="n"/>
      <c r="D1062" s="28" t="n"/>
      <c r="E1062" s="29" t="n"/>
      <c r="F1062" s="29" t="n"/>
      <c r="G1062" s="28" t="n"/>
      <c r="H1062" s="28" t="n"/>
      <c r="I1062" s="28" t="n"/>
      <c r="J1062" s="28" t="n"/>
      <c r="K1062" s="24">
        <f>IF(D1062="","",IFERROR(INDEX(Setup!$B$24:$B$59,MATCH(D1062,Setup!$A$24:$A$59,0)),"Check category"))</f>
        <v/>
      </c>
      <c r="L1062" s="25">
        <f>IF(A1062="","",DATE(YEAR(A1062),MONTH(A1062),1))</f>
        <v/>
      </c>
      <c r="M1062" s="26">
        <f>IF(AND(E1062="",F1062=""),"",N(E1062)-N(F1062))</f>
        <v/>
      </c>
      <c r="N1062" s="28" t="n"/>
    </row>
    <row r="1063">
      <c r="A1063" s="27" t="n"/>
      <c r="B1063" s="28" t="n"/>
      <c r="C1063" s="28" t="n"/>
      <c r="D1063" s="28" t="n"/>
      <c r="E1063" s="29" t="n"/>
      <c r="F1063" s="29" t="n"/>
      <c r="G1063" s="28" t="n"/>
      <c r="H1063" s="28" t="n"/>
      <c r="I1063" s="28" t="n"/>
      <c r="J1063" s="28" t="n"/>
      <c r="K1063" s="24">
        <f>IF(D1063="","",IFERROR(INDEX(Setup!$B$24:$B$59,MATCH(D1063,Setup!$A$24:$A$59,0)),"Check category"))</f>
        <v/>
      </c>
      <c r="L1063" s="25">
        <f>IF(A1063="","",DATE(YEAR(A1063),MONTH(A1063),1))</f>
        <v/>
      </c>
      <c r="M1063" s="26">
        <f>IF(AND(E1063="",F1063=""),"",N(E1063)-N(F1063))</f>
        <v/>
      </c>
      <c r="N1063" s="28" t="n"/>
    </row>
    <row r="1064">
      <c r="A1064" s="27" t="n"/>
      <c r="B1064" s="28" t="n"/>
      <c r="C1064" s="28" t="n"/>
      <c r="D1064" s="28" t="n"/>
      <c r="E1064" s="29" t="n"/>
      <c r="F1064" s="29" t="n"/>
      <c r="G1064" s="28" t="n"/>
      <c r="H1064" s="28" t="n"/>
      <c r="I1064" s="28" t="n"/>
      <c r="J1064" s="28" t="n"/>
      <c r="K1064" s="24">
        <f>IF(D1064="","",IFERROR(INDEX(Setup!$B$24:$B$59,MATCH(D1064,Setup!$A$24:$A$59,0)),"Check category"))</f>
        <v/>
      </c>
      <c r="L1064" s="25">
        <f>IF(A1064="","",DATE(YEAR(A1064),MONTH(A1064),1))</f>
        <v/>
      </c>
      <c r="M1064" s="26">
        <f>IF(AND(E1064="",F1064=""),"",N(E1064)-N(F1064))</f>
        <v/>
      </c>
      <c r="N1064" s="28" t="n"/>
    </row>
    <row r="1065">
      <c r="A1065" s="27" t="n"/>
      <c r="B1065" s="28" t="n"/>
      <c r="C1065" s="28" t="n"/>
      <c r="D1065" s="28" t="n"/>
      <c r="E1065" s="29" t="n"/>
      <c r="F1065" s="29" t="n"/>
      <c r="G1065" s="28" t="n"/>
      <c r="H1065" s="28" t="n"/>
      <c r="I1065" s="28" t="n"/>
      <c r="J1065" s="28" t="n"/>
      <c r="K1065" s="24">
        <f>IF(D1065="","",IFERROR(INDEX(Setup!$B$24:$B$59,MATCH(D1065,Setup!$A$24:$A$59,0)),"Check category"))</f>
        <v/>
      </c>
      <c r="L1065" s="25">
        <f>IF(A1065="","",DATE(YEAR(A1065),MONTH(A1065),1))</f>
        <v/>
      </c>
      <c r="M1065" s="26">
        <f>IF(AND(E1065="",F1065=""),"",N(E1065)-N(F1065))</f>
        <v/>
      </c>
      <c r="N1065" s="28" t="n"/>
    </row>
    <row r="1066">
      <c r="A1066" s="27" t="n"/>
      <c r="B1066" s="28" t="n"/>
      <c r="C1066" s="28" t="n"/>
      <c r="D1066" s="28" t="n"/>
      <c r="E1066" s="29" t="n"/>
      <c r="F1066" s="29" t="n"/>
      <c r="G1066" s="28" t="n"/>
      <c r="H1066" s="28" t="n"/>
      <c r="I1066" s="28" t="n"/>
      <c r="J1066" s="28" t="n"/>
      <c r="K1066" s="24">
        <f>IF(D1066="","",IFERROR(INDEX(Setup!$B$24:$B$59,MATCH(D1066,Setup!$A$24:$A$59,0)),"Check category"))</f>
        <v/>
      </c>
      <c r="L1066" s="25">
        <f>IF(A1066="","",DATE(YEAR(A1066),MONTH(A1066),1))</f>
        <v/>
      </c>
      <c r="M1066" s="26">
        <f>IF(AND(E1066="",F1066=""),"",N(E1066)-N(F1066))</f>
        <v/>
      </c>
      <c r="N1066" s="28" t="n"/>
    </row>
    <row r="1067">
      <c r="A1067" s="27" t="n"/>
      <c r="B1067" s="28" t="n"/>
      <c r="C1067" s="28" t="n"/>
      <c r="D1067" s="28" t="n"/>
      <c r="E1067" s="29" t="n"/>
      <c r="F1067" s="29" t="n"/>
      <c r="G1067" s="28" t="n"/>
      <c r="H1067" s="28" t="n"/>
      <c r="I1067" s="28" t="n"/>
      <c r="J1067" s="28" t="n"/>
      <c r="K1067" s="24">
        <f>IF(D1067="","",IFERROR(INDEX(Setup!$B$24:$B$59,MATCH(D1067,Setup!$A$24:$A$59,0)),"Check category"))</f>
        <v/>
      </c>
      <c r="L1067" s="25">
        <f>IF(A1067="","",DATE(YEAR(A1067),MONTH(A1067),1))</f>
        <v/>
      </c>
      <c r="M1067" s="26">
        <f>IF(AND(E1067="",F1067=""),"",N(E1067)-N(F1067))</f>
        <v/>
      </c>
      <c r="N1067" s="28" t="n"/>
    </row>
    <row r="1068">
      <c r="A1068" s="27" t="n"/>
      <c r="B1068" s="28" t="n"/>
      <c r="C1068" s="28" t="n"/>
      <c r="D1068" s="28" t="n"/>
      <c r="E1068" s="29" t="n"/>
      <c r="F1068" s="29" t="n"/>
      <c r="G1068" s="28" t="n"/>
      <c r="H1068" s="28" t="n"/>
      <c r="I1068" s="28" t="n"/>
      <c r="J1068" s="28" t="n"/>
      <c r="K1068" s="24">
        <f>IF(D1068="","",IFERROR(INDEX(Setup!$B$24:$B$59,MATCH(D1068,Setup!$A$24:$A$59,0)),"Check category"))</f>
        <v/>
      </c>
      <c r="L1068" s="25">
        <f>IF(A1068="","",DATE(YEAR(A1068),MONTH(A1068),1))</f>
        <v/>
      </c>
      <c r="M1068" s="26">
        <f>IF(AND(E1068="",F1068=""),"",N(E1068)-N(F1068))</f>
        <v/>
      </c>
      <c r="N1068" s="28" t="n"/>
    </row>
    <row r="1069">
      <c r="A1069" s="27" t="n"/>
      <c r="B1069" s="28" t="n"/>
      <c r="C1069" s="28" t="n"/>
      <c r="D1069" s="28" t="n"/>
      <c r="E1069" s="29" t="n"/>
      <c r="F1069" s="29" t="n"/>
      <c r="G1069" s="28" t="n"/>
      <c r="H1069" s="28" t="n"/>
      <c r="I1069" s="28" t="n"/>
      <c r="J1069" s="28" t="n"/>
      <c r="K1069" s="24">
        <f>IF(D1069="","",IFERROR(INDEX(Setup!$B$24:$B$59,MATCH(D1069,Setup!$A$24:$A$59,0)),"Check category"))</f>
        <v/>
      </c>
      <c r="L1069" s="25">
        <f>IF(A1069="","",DATE(YEAR(A1069),MONTH(A1069),1))</f>
        <v/>
      </c>
      <c r="M1069" s="26">
        <f>IF(AND(E1069="",F1069=""),"",N(E1069)-N(F1069))</f>
        <v/>
      </c>
      <c r="N1069" s="28" t="n"/>
    </row>
    <row r="1070">
      <c r="A1070" s="27" t="n"/>
      <c r="B1070" s="28" t="n"/>
      <c r="C1070" s="28" t="n"/>
      <c r="D1070" s="28" t="n"/>
      <c r="E1070" s="29" t="n"/>
      <c r="F1070" s="29" t="n"/>
      <c r="G1070" s="28" t="n"/>
      <c r="H1070" s="28" t="n"/>
      <c r="I1070" s="28" t="n"/>
      <c r="J1070" s="28" t="n"/>
      <c r="K1070" s="24">
        <f>IF(D1070="","",IFERROR(INDEX(Setup!$B$24:$B$59,MATCH(D1070,Setup!$A$24:$A$59,0)),"Check category"))</f>
        <v/>
      </c>
      <c r="L1070" s="25">
        <f>IF(A1070="","",DATE(YEAR(A1070),MONTH(A1070),1))</f>
        <v/>
      </c>
      <c r="M1070" s="26">
        <f>IF(AND(E1070="",F1070=""),"",N(E1070)-N(F1070))</f>
        <v/>
      </c>
      <c r="N1070" s="28" t="n"/>
    </row>
    <row r="1071">
      <c r="A1071" s="27" t="n"/>
      <c r="B1071" s="28" t="n"/>
      <c r="C1071" s="28" t="n"/>
      <c r="D1071" s="28" t="n"/>
      <c r="E1071" s="29" t="n"/>
      <c r="F1071" s="29" t="n"/>
      <c r="G1071" s="28" t="n"/>
      <c r="H1071" s="28" t="n"/>
      <c r="I1071" s="28" t="n"/>
      <c r="J1071" s="28" t="n"/>
      <c r="K1071" s="24">
        <f>IF(D1071="","",IFERROR(INDEX(Setup!$B$24:$B$59,MATCH(D1071,Setup!$A$24:$A$59,0)),"Check category"))</f>
        <v/>
      </c>
      <c r="L1071" s="25">
        <f>IF(A1071="","",DATE(YEAR(A1071),MONTH(A1071),1))</f>
        <v/>
      </c>
      <c r="M1071" s="26">
        <f>IF(AND(E1071="",F1071=""),"",N(E1071)-N(F1071))</f>
        <v/>
      </c>
      <c r="N1071" s="28" t="n"/>
    </row>
    <row r="1072">
      <c r="A1072" s="27" t="n"/>
      <c r="B1072" s="28" t="n"/>
      <c r="C1072" s="28" t="n"/>
      <c r="D1072" s="28" t="n"/>
      <c r="E1072" s="29" t="n"/>
      <c r="F1072" s="29" t="n"/>
      <c r="G1072" s="28" t="n"/>
      <c r="H1072" s="28" t="n"/>
      <c r="I1072" s="28" t="n"/>
      <c r="J1072" s="28" t="n"/>
      <c r="K1072" s="24">
        <f>IF(D1072="","",IFERROR(INDEX(Setup!$B$24:$B$59,MATCH(D1072,Setup!$A$24:$A$59,0)),"Check category"))</f>
        <v/>
      </c>
      <c r="L1072" s="25">
        <f>IF(A1072="","",DATE(YEAR(A1072),MONTH(A1072),1))</f>
        <v/>
      </c>
      <c r="M1072" s="26">
        <f>IF(AND(E1072="",F1072=""),"",N(E1072)-N(F1072))</f>
        <v/>
      </c>
      <c r="N1072" s="28" t="n"/>
    </row>
    <row r="1073">
      <c r="A1073" s="27" t="n"/>
      <c r="B1073" s="28" t="n"/>
      <c r="C1073" s="28" t="n"/>
      <c r="D1073" s="28" t="n"/>
      <c r="E1073" s="29" t="n"/>
      <c r="F1073" s="29" t="n"/>
      <c r="G1073" s="28" t="n"/>
      <c r="H1073" s="28" t="n"/>
      <c r="I1073" s="28" t="n"/>
      <c r="J1073" s="28" t="n"/>
      <c r="K1073" s="24">
        <f>IF(D1073="","",IFERROR(INDEX(Setup!$B$24:$B$59,MATCH(D1073,Setup!$A$24:$A$59,0)),"Check category"))</f>
        <v/>
      </c>
      <c r="L1073" s="25">
        <f>IF(A1073="","",DATE(YEAR(A1073),MONTH(A1073),1))</f>
        <v/>
      </c>
      <c r="M1073" s="26">
        <f>IF(AND(E1073="",F1073=""),"",N(E1073)-N(F1073))</f>
        <v/>
      </c>
      <c r="N1073" s="28" t="n"/>
    </row>
    <row r="1074">
      <c r="A1074" s="27" t="n"/>
      <c r="B1074" s="28" t="n"/>
      <c r="C1074" s="28" t="n"/>
      <c r="D1074" s="28" t="n"/>
      <c r="E1074" s="29" t="n"/>
      <c r="F1074" s="29" t="n"/>
      <c r="G1074" s="28" t="n"/>
      <c r="H1074" s="28" t="n"/>
      <c r="I1074" s="28" t="n"/>
      <c r="J1074" s="28" t="n"/>
      <c r="K1074" s="24">
        <f>IF(D1074="","",IFERROR(INDEX(Setup!$B$24:$B$59,MATCH(D1074,Setup!$A$24:$A$59,0)),"Check category"))</f>
        <v/>
      </c>
      <c r="L1074" s="25">
        <f>IF(A1074="","",DATE(YEAR(A1074),MONTH(A1074),1))</f>
        <v/>
      </c>
      <c r="M1074" s="26">
        <f>IF(AND(E1074="",F1074=""),"",N(E1074)-N(F1074))</f>
        <v/>
      </c>
      <c r="N1074" s="28" t="n"/>
    </row>
    <row r="1075">
      <c r="A1075" s="27" t="n"/>
      <c r="B1075" s="28" t="n"/>
      <c r="C1075" s="28" t="n"/>
      <c r="D1075" s="28" t="n"/>
      <c r="E1075" s="29" t="n"/>
      <c r="F1075" s="29" t="n"/>
      <c r="G1075" s="28" t="n"/>
      <c r="H1075" s="28" t="n"/>
      <c r="I1075" s="28" t="n"/>
      <c r="J1075" s="28" t="n"/>
      <c r="K1075" s="24">
        <f>IF(D1075="","",IFERROR(INDEX(Setup!$B$24:$B$59,MATCH(D1075,Setup!$A$24:$A$59,0)),"Check category"))</f>
        <v/>
      </c>
      <c r="L1075" s="25">
        <f>IF(A1075="","",DATE(YEAR(A1075),MONTH(A1075),1))</f>
        <v/>
      </c>
      <c r="M1075" s="26">
        <f>IF(AND(E1075="",F1075=""),"",N(E1075)-N(F1075))</f>
        <v/>
      </c>
      <c r="N1075" s="28" t="n"/>
    </row>
    <row r="1076">
      <c r="A1076" s="27" t="n"/>
      <c r="B1076" s="28" t="n"/>
      <c r="C1076" s="28" t="n"/>
      <c r="D1076" s="28" t="n"/>
      <c r="E1076" s="29" t="n"/>
      <c r="F1076" s="29" t="n"/>
      <c r="G1076" s="28" t="n"/>
      <c r="H1076" s="28" t="n"/>
      <c r="I1076" s="28" t="n"/>
      <c r="J1076" s="28" t="n"/>
      <c r="K1076" s="24">
        <f>IF(D1076="","",IFERROR(INDEX(Setup!$B$24:$B$59,MATCH(D1076,Setup!$A$24:$A$59,0)),"Check category"))</f>
        <v/>
      </c>
      <c r="L1076" s="25">
        <f>IF(A1076="","",DATE(YEAR(A1076),MONTH(A1076),1))</f>
        <v/>
      </c>
      <c r="M1076" s="26">
        <f>IF(AND(E1076="",F1076=""),"",N(E1076)-N(F1076))</f>
        <v/>
      </c>
      <c r="N1076" s="28" t="n"/>
    </row>
    <row r="1077">
      <c r="A1077" s="27" t="n"/>
      <c r="B1077" s="28" t="n"/>
      <c r="C1077" s="28" t="n"/>
      <c r="D1077" s="28" t="n"/>
      <c r="E1077" s="29" t="n"/>
      <c r="F1077" s="29" t="n"/>
      <c r="G1077" s="28" t="n"/>
      <c r="H1077" s="28" t="n"/>
      <c r="I1077" s="28" t="n"/>
      <c r="J1077" s="28" t="n"/>
      <c r="K1077" s="24">
        <f>IF(D1077="","",IFERROR(INDEX(Setup!$B$24:$B$59,MATCH(D1077,Setup!$A$24:$A$59,0)),"Check category"))</f>
        <v/>
      </c>
      <c r="L1077" s="25">
        <f>IF(A1077="","",DATE(YEAR(A1077),MONTH(A1077),1))</f>
        <v/>
      </c>
      <c r="M1077" s="26">
        <f>IF(AND(E1077="",F1077=""),"",N(E1077)-N(F1077))</f>
        <v/>
      </c>
      <c r="N1077" s="28" t="n"/>
    </row>
    <row r="1078">
      <c r="A1078" s="27" t="n"/>
      <c r="B1078" s="28" t="n"/>
      <c r="C1078" s="28" t="n"/>
      <c r="D1078" s="28" t="n"/>
      <c r="E1078" s="29" t="n"/>
      <c r="F1078" s="29" t="n"/>
      <c r="G1078" s="28" t="n"/>
      <c r="H1078" s="28" t="n"/>
      <c r="I1078" s="28" t="n"/>
      <c r="J1078" s="28" t="n"/>
      <c r="K1078" s="24">
        <f>IF(D1078="","",IFERROR(INDEX(Setup!$B$24:$B$59,MATCH(D1078,Setup!$A$24:$A$59,0)),"Check category"))</f>
        <v/>
      </c>
      <c r="L1078" s="25">
        <f>IF(A1078="","",DATE(YEAR(A1078),MONTH(A1078),1))</f>
        <v/>
      </c>
      <c r="M1078" s="26">
        <f>IF(AND(E1078="",F1078=""),"",N(E1078)-N(F1078))</f>
        <v/>
      </c>
      <c r="N1078" s="28" t="n"/>
    </row>
    <row r="1079">
      <c r="A1079" s="27" t="n"/>
      <c r="B1079" s="28" t="n"/>
      <c r="C1079" s="28" t="n"/>
      <c r="D1079" s="28" t="n"/>
      <c r="E1079" s="29" t="n"/>
      <c r="F1079" s="29" t="n"/>
      <c r="G1079" s="28" t="n"/>
      <c r="H1079" s="28" t="n"/>
      <c r="I1079" s="28" t="n"/>
      <c r="J1079" s="28" t="n"/>
      <c r="K1079" s="24">
        <f>IF(D1079="","",IFERROR(INDEX(Setup!$B$24:$B$59,MATCH(D1079,Setup!$A$24:$A$59,0)),"Check category"))</f>
        <v/>
      </c>
      <c r="L1079" s="25">
        <f>IF(A1079="","",DATE(YEAR(A1079),MONTH(A1079),1))</f>
        <v/>
      </c>
      <c r="M1079" s="26">
        <f>IF(AND(E1079="",F1079=""),"",N(E1079)-N(F1079))</f>
        <v/>
      </c>
      <c r="N1079" s="28" t="n"/>
    </row>
    <row r="1080">
      <c r="A1080" s="27" t="n"/>
      <c r="B1080" s="28" t="n"/>
      <c r="C1080" s="28" t="n"/>
      <c r="D1080" s="28" t="n"/>
      <c r="E1080" s="29" t="n"/>
      <c r="F1080" s="29" t="n"/>
      <c r="G1080" s="28" t="n"/>
      <c r="H1080" s="28" t="n"/>
      <c r="I1080" s="28" t="n"/>
      <c r="J1080" s="28" t="n"/>
      <c r="K1080" s="24">
        <f>IF(D1080="","",IFERROR(INDEX(Setup!$B$24:$B$59,MATCH(D1080,Setup!$A$24:$A$59,0)),"Check category"))</f>
        <v/>
      </c>
      <c r="L1080" s="25">
        <f>IF(A1080="","",DATE(YEAR(A1080),MONTH(A1080),1))</f>
        <v/>
      </c>
      <c r="M1080" s="26">
        <f>IF(AND(E1080="",F1080=""),"",N(E1080)-N(F1080))</f>
        <v/>
      </c>
      <c r="N1080" s="28" t="n"/>
    </row>
    <row r="1081">
      <c r="A1081" s="27" t="n"/>
      <c r="B1081" s="28" t="n"/>
      <c r="C1081" s="28" t="n"/>
      <c r="D1081" s="28" t="n"/>
      <c r="E1081" s="29" t="n"/>
      <c r="F1081" s="29" t="n"/>
      <c r="G1081" s="28" t="n"/>
      <c r="H1081" s="28" t="n"/>
      <c r="I1081" s="28" t="n"/>
      <c r="J1081" s="28" t="n"/>
      <c r="K1081" s="24">
        <f>IF(D1081="","",IFERROR(INDEX(Setup!$B$24:$B$59,MATCH(D1081,Setup!$A$24:$A$59,0)),"Check category"))</f>
        <v/>
      </c>
      <c r="L1081" s="25">
        <f>IF(A1081="","",DATE(YEAR(A1081),MONTH(A1081),1))</f>
        <v/>
      </c>
      <c r="M1081" s="26">
        <f>IF(AND(E1081="",F1081=""),"",N(E1081)-N(F1081))</f>
        <v/>
      </c>
      <c r="N1081" s="28" t="n"/>
    </row>
    <row r="1082">
      <c r="A1082" s="27" t="n"/>
      <c r="B1082" s="28" t="n"/>
      <c r="C1082" s="28" t="n"/>
      <c r="D1082" s="28" t="n"/>
      <c r="E1082" s="29" t="n"/>
      <c r="F1082" s="29" t="n"/>
      <c r="G1082" s="28" t="n"/>
      <c r="H1082" s="28" t="n"/>
      <c r="I1082" s="28" t="n"/>
      <c r="J1082" s="28" t="n"/>
      <c r="K1082" s="24">
        <f>IF(D1082="","",IFERROR(INDEX(Setup!$B$24:$B$59,MATCH(D1082,Setup!$A$24:$A$59,0)),"Check category"))</f>
        <v/>
      </c>
      <c r="L1082" s="25">
        <f>IF(A1082="","",DATE(YEAR(A1082),MONTH(A1082),1))</f>
        <v/>
      </c>
      <c r="M1082" s="26">
        <f>IF(AND(E1082="",F1082=""),"",N(E1082)-N(F1082))</f>
        <v/>
      </c>
      <c r="N1082" s="28" t="n"/>
    </row>
    <row r="1083">
      <c r="A1083" s="27" t="n"/>
      <c r="B1083" s="28" t="n"/>
      <c r="C1083" s="28" t="n"/>
      <c r="D1083" s="28" t="n"/>
      <c r="E1083" s="29" t="n"/>
      <c r="F1083" s="29" t="n"/>
      <c r="G1083" s="28" t="n"/>
      <c r="H1083" s="28" t="n"/>
      <c r="I1083" s="28" t="n"/>
      <c r="J1083" s="28" t="n"/>
      <c r="K1083" s="24">
        <f>IF(D1083="","",IFERROR(INDEX(Setup!$B$24:$B$59,MATCH(D1083,Setup!$A$24:$A$59,0)),"Check category"))</f>
        <v/>
      </c>
      <c r="L1083" s="25">
        <f>IF(A1083="","",DATE(YEAR(A1083),MONTH(A1083),1))</f>
        <v/>
      </c>
      <c r="M1083" s="26">
        <f>IF(AND(E1083="",F1083=""),"",N(E1083)-N(F1083))</f>
        <v/>
      </c>
      <c r="N1083" s="28" t="n"/>
    </row>
    <row r="1084">
      <c r="A1084" s="27" t="n"/>
      <c r="B1084" s="28" t="n"/>
      <c r="C1084" s="28" t="n"/>
      <c r="D1084" s="28" t="n"/>
      <c r="E1084" s="29" t="n"/>
      <c r="F1084" s="29" t="n"/>
      <c r="G1084" s="28" t="n"/>
      <c r="H1084" s="28" t="n"/>
      <c r="I1084" s="28" t="n"/>
      <c r="J1084" s="28" t="n"/>
      <c r="K1084" s="24">
        <f>IF(D1084="","",IFERROR(INDEX(Setup!$B$24:$B$59,MATCH(D1084,Setup!$A$24:$A$59,0)),"Check category"))</f>
        <v/>
      </c>
      <c r="L1084" s="25">
        <f>IF(A1084="","",DATE(YEAR(A1084),MONTH(A1084),1))</f>
        <v/>
      </c>
      <c r="M1084" s="26">
        <f>IF(AND(E1084="",F1084=""),"",N(E1084)-N(F1084))</f>
        <v/>
      </c>
      <c r="N1084" s="28" t="n"/>
    </row>
    <row r="1085">
      <c r="A1085" s="27" t="n"/>
      <c r="B1085" s="28" t="n"/>
      <c r="C1085" s="28" t="n"/>
      <c r="D1085" s="28" t="n"/>
      <c r="E1085" s="29" t="n"/>
      <c r="F1085" s="29" t="n"/>
      <c r="G1085" s="28" t="n"/>
      <c r="H1085" s="28" t="n"/>
      <c r="I1085" s="28" t="n"/>
      <c r="J1085" s="28" t="n"/>
      <c r="K1085" s="24">
        <f>IF(D1085="","",IFERROR(INDEX(Setup!$B$24:$B$59,MATCH(D1085,Setup!$A$24:$A$59,0)),"Check category"))</f>
        <v/>
      </c>
      <c r="L1085" s="25">
        <f>IF(A1085="","",DATE(YEAR(A1085),MONTH(A1085),1))</f>
        <v/>
      </c>
      <c r="M1085" s="26">
        <f>IF(AND(E1085="",F1085=""),"",N(E1085)-N(F1085))</f>
        <v/>
      </c>
      <c r="N1085" s="28" t="n"/>
    </row>
    <row r="1086">
      <c r="A1086" s="27" t="n"/>
      <c r="B1086" s="28" t="n"/>
      <c r="C1086" s="28" t="n"/>
      <c r="D1086" s="28" t="n"/>
      <c r="E1086" s="29" t="n"/>
      <c r="F1086" s="29" t="n"/>
      <c r="G1086" s="28" t="n"/>
      <c r="H1086" s="28" t="n"/>
      <c r="I1086" s="28" t="n"/>
      <c r="J1086" s="28" t="n"/>
      <c r="K1086" s="24">
        <f>IF(D1086="","",IFERROR(INDEX(Setup!$B$24:$B$59,MATCH(D1086,Setup!$A$24:$A$59,0)),"Check category"))</f>
        <v/>
      </c>
      <c r="L1086" s="25">
        <f>IF(A1086="","",DATE(YEAR(A1086),MONTH(A1086),1))</f>
        <v/>
      </c>
      <c r="M1086" s="26">
        <f>IF(AND(E1086="",F1086=""),"",N(E1086)-N(F1086))</f>
        <v/>
      </c>
      <c r="N1086" s="28" t="n"/>
    </row>
    <row r="1087">
      <c r="A1087" s="27" t="n"/>
      <c r="B1087" s="28" t="n"/>
      <c r="C1087" s="28" t="n"/>
      <c r="D1087" s="28" t="n"/>
      <c r="E1087" s="29" t="n"/>
      <c r="F1087" s="29" t="n"/>
      <c r="G1087" s="28" t="n"/>
      <c r="H1087" s="28" t="n"/>
      <c r="I1087" s="28" t="n"/>
      <c r="J1087" s="28" t="n"/>
      <c r="K1087" s="24">
        <f>IF(D1087="","",IFERROR(INDEX(Setup!$B$24:$B$59,MATCH(D1087,Setup!$A$24:$A$59,0)),"Check category"))</f>
        <v/>
      </c>
      <c r="L1087" s="25">
        <f>IF(A1087="","",DATE(YEAR(A1087),MONTH(A1087),1))</f>
        <v/>
      </c>
      <c r="M1087" s="26">
        <f>IF(AND(E1087="",F1087=""),"",N(E1087)-N(F1087))</f>
        <v/>
      </c>
      <c r="N1087" s="28" t="n"/>
    </row>
    <row r="1088">
      <c r="A1088" s="27" t="n"/>
      <c r="B1088" s="28" t="n"/>
      <c r="C1088" s="28" t="n"/>
      <c r="D1088" s="28" t="n"/>
      <c r="E1088" s="29" t="n"/>
      <c r="F1088" s="29" t="n"/>
      <c r="G1088" s="28" t="n"/>
      <c r="H1088" s="28" t="n"/>
      <c r="I1088" s="28" t="n"/>
      <c r="J1088" s="28" t="n"/>
      <c r="K1088" s="24">
        <f>IF(D1088="","",IFERROR(INDEX(Setup!$B$24:$B$59,MATCH(D1088,Setup!$A$24:$A$59,0)),"Check category"))</f>
        <v/>
      </c>
      <c r="L1088" s="25">
        <f>IF(A1088="","",DATE(YEAR(A1088),MONTH(A1088),1))</f>
        <v/>
      </c>
      <c r="M1088" s="26">
        <f>IF(AND(E1088="",F1088=""),"",N(E1088)-N(F1088))</f>
        <v/>
      </c>
      <c r="N1088" s="28" t="n"/>
    </row>
    <row r="1089">
      <c r="A1089" s="27" t="n"/>
      <c r="B1089" s="28" t="n"/>
      <c r="C1089" s="28" t="n"/>
      <c r="D1089" s="28" t="n"/>
      <c r="E1089" s="29" t="n"/>
      <c r="F1089" s="29" t="n"/>
      <c r="G1089" s="28" t="n"/>
      <c r="H1089" s="28" t="n"/>
      <c r="I1089" s="28" t="n"/>
      <c r="J1089" s="28" t="n"/>
      <c r="K1089" s="24">
        <f>IF(D1089="","",IFERROR(INDEX(Setup!$B$24:$B$59,MATCH(D1089,Setup!$A$24:$A$59,0)),"Check category"))</f>
        <v/>
      </c>
      <c r="L1089" s="25">
        <f>IF(A1089="","",DATE(YEAR(A1089),MONTH(A1089),1))</f>
        <v/>
      </c>
      <c r="M1089" s="26">
        <f>IF(AND(E1089="",F1089=""),"",N(E1089)-N(F1089))</f>
        <v/>
      </c>
      <c r="N1089" s="28" t="n"/>
    </row>
    <row r="1090">
      <c r="A1090" s="27" t="n"/>
      <c r="B1090" s="28" t="n"/>
      <c r="C1090" s="28" t="n"/>
      <c r="D1090" s="28" t="n"/>
      <c r="E1090" s="29" t="n"/>
      <c r="F1090" s="29" t="n"/>
      <c r="G1090" s="28" t="n"/>
      <c r="H1090" s="28" t="n"/>
      <c r="I1090" s="28" t="n"/>
      <c r="J1090" s="28" t="n"/>
      <c r="K1090" s="24">
        <f>IF(D1090="","",IFERROR(INDEX(Setup!$B$24:$B$59,MATCH(D1090,Setup!$A$24:$A$59,0)),"Check category"))</f>
        <v/>
      </c>
      <c r="L1090" s="25">
        <f>IF(A1090="","",DATE(YEAR(A1090),MONTH(A1090),1))</f>
        <v/>
      </c>
      <c r="M1090" s="26">
        <f>IF(AND(E1090="",F1090=""),"",N(E1090)-N(F1090))</f>
        <v/>
      </c>
      <c r="N1090" s="28" t="n"/>
    </row>
    <row r="1091">
      <c r="A1091" s="27" t="n"/>
      <c r="B1091" s="28" t="n"/>
      <c r="C1091" s="28" t="n"/>
      <c r="D1091" s="28" t="n"/>
      <c r="E1091" s="29" t="n"/>
      <c r="F1091" s="29" t="n"/>
      <c r="G1091" s="28" t="n"/>
      <c r="H1091" s="28" t="n"/>
      <c r="I1091" s="28" t="n"/>
      <c r="J1091" s="28" t="n"/>
      <c r="K1091" s="24">
        <f>IF(D1091="","",IFERROR(INDEX(Setup!$B$24:$B$59,MATCH(D1091,Setup!$A$24:$A$59,0)),"Check category"))</f>
        <v/>
      </c>
      <c r="L1091" s="25">
        <f>IF(A1091="","",DATE(YEAR(A1091),MONTH(A1091),1))</f>
        <v/>
      </c>
      <c r="M1091" s="26">
        <f>IF(AND(E1091="",F1091=""),"",N(E1091)-N(F1091))</f>
        <v/>
      </c>
      <c r="N1091" s="28" t="n"/>
    </row>
    <row r="1092">
      <c r="A1092" s="27" t="n"/>
      <c r="B1092" s="28" t="n"/>
      <c r="C1092" s="28" t="n"/>
      <c r="D1092" s="28" t="n"/>
      <c r="E1092" s="29" t="n"/>
      <c r="F1092" s="29" t="n"/>
      <c r="G1092" s="28" t="n"/>
      <c r="H1092" s="28" t="n"/>
      <c r="I1092" s="28" t="n"/>
      <c r="J1092" s="28" t="n"/>
      <c r="K1092" s="24">
        <f>IF(D1092="","",IFERROR(INDEX(Setup!$B$24:$B$59,MATCH(D1092,Setup!$A$24:$A$59,0)),"Check category"))</f>
        <v/>
      </c>
      <c r="L1092" s="25">
        <f>IF(A1092="","",DATE(YEAR(A1092),MONTH(A1092),1))</f>
        <v/>
      </c>
      <c r="M1092" s="26">
        <f>IF(AND(E1092="",F1092=""),"",N(E1092)-N(F1092))</f>
        <v/>
      </c>
      <c r="N1092" s="28" t="n"/>
    </row>
    <row r="1093">
      <c r="A1093" s="27" t="n"/>
      <c r="B1093" s="28" t="n"/>
      <c r="C1093" s="28" t="n"/>
      <c r="D1093" s="28" t="n"/>
      <c r="E1093" s="29" t="n"/>
      <c r="F1093" s="29" t="n"/>
      <c r="G1093" s="28" t="n"/>
      <c r="H1093" s="28" t="n"/>
      <c r="I1093" s="28" t="n"/>
      <c r="J1093" s="28" t="n"/>
      <c r="K1093" s="24">
        <f>IF(D1093="","",IFERROR(INDEX(Setup!$B$24:$B$59,MATCH(D1093,Setup!$A$24:$A$59,0)),"Check category"))</f>
        <v/>
      </c>
      <c r="L1093" s="25">
        <f>IF(A1093="","",DATE(YEAR(A1093),MONTH(A1093),1))</f>
        <v/>
      </c>
      <c r="M1093" s="26">
        <f>IF(AND(E1093="",F1093=""),"",N(E1093)-N(F1093))</f>
        <v/>
      </c>
      <c r="N1093" s="28" t="n"/>
    </row>
    <row r="1094">
      <c r="A1094" s="27" t="n"/>
      <c r="B1094" s="28" t="n"/>
      <c r="C1094" s="28" t="n"/>
      <c r="D1094" s="28" t="n"/>
      <c r="E1094" s="29" t="n"/>
      <c r="F1094" s="29" t="n"/>
      <c r="G1094" s="28" t="n"/>
      <c r="H1094" s="28" t="n"/>
      <c r="I1094" s="28" t="n"/>
      <c r="J1094" s="28" t="n"/>
      <c r="K1094" s="24">
        <f>IF(D1094="","",IFERROR(INDEX(Setup!$B$24:$B$59,MATCH(D1094,Setup!$A$24:$A$59,0)),"Check category"))</f>
        <v/>
      </c>
      <c r="L1094" s="25">
        <f>IF(A1094="","",DATE(YEAR(A1094),MONTH(A1094),1))</f>
        <v/>
      </c>
      <c r="M1094" s="26">
        <f>IF(AND(E1094="",F1094=""),"",N(E1094)-N(F1094))</f>
        <v/>
      </c>
      <c r="N1094" s="28" t="n"/>
    </row>
    <row r="1095">
      <c r="A1095" s="27" t="n"/>
      <c r="B1095" s="28" t="n"/>
      <c r="C1095" s="28" t="n"/>
      <c r="D1095" s="28" t="n"/>
      <c r="E1095" s="29" t="n"/>
      <c r="F1095" s="29" t="n"/>
      <c r="G1095" s="28" t="n"/>
      <c r="H1095" s="28" t="n"/>
      <c r="I1095" s="28" t="n"/>
      <c r="J1095" s="28" t="n"/>
      <c r="K1095" s="24">
        <f>IF(D1095="","",IFERROR(INDEX(Setup!$B$24:$B$59,MATCH(D1095,Setup!$A$24:$A$59,0)),"Check category"))</f>
        <v/>
      </c>
      <c r="L1095" s="25">
        <f>IF(A1095="","",DATE(YEAR(A1095),MONTH(A1095),1))</f>
        <v/>
      </c>
      <c r="M1095" s="26">
        <f>IF(AND(E1095="",F1095=""),"",N(E1095)-N(F1095))</f>
        <v/>
      </c>
      <c r="N1095" s="28" t="n"/>
    </row>
    <row r="1096">
      <c r="A1096" s="27" t="n"/>
      <c r="B1096" s="28" t="n"/>
      <c r="C1096" s="28" t="n"/>
      <c r="D1096" s="28" t="n"/>
      <c r="E1096" s="29" t="n"/>
      <c r="F1096" s="29" t="n"/>
      <c r="G1096" s="28" t="n"/>
      <c r="H1096" s="28" t="n"/>
      <c r="I1096" s="28" t="n"/>
      <c r="J1096" s="28" t="n"/>
      <c r="K1096" s="24">
        <f>IF(D1096="","",IFERROR(INDEX(Setup!$B$24:$B$59,MATCH(D1096,Setup!$A$24:$A$59,0)),"Check category"))</f>
        <v/>
      </c>
      <c r="L1096" s="25">
        <f>IF(A1096="","",DATE(YEAR(A1096),MONTH(A1096),1))</f>
        <v/>
      </c>
      <c r="M1096" s="26">
        <f>IF(AND(E1096="",F1096=""),"",N(E1096)-N(F1096))</f>
        <v/>
      </c>
      <c r="N1096" s="28" t="n"/>
    </row>
    <row r="1097">
      <c r="A1097" s="27" t="n"/>
      <c r="B1097" s="28" t="n"/>
      <c r="C1097" s="28" t="n"/>
      <c r="D1097" s="28" t="n"/>
      <c r="E1097" s="29" t="n"/>
      <c r="F1097" s="29" t="n"/>
      <c r="G1097" s="28" t="n"/>
      <c r="H1097" s="28" t="n"/>
      <c r="I1097" s="28" t="n"/>
      <c r="J1097" s="28" t="n"/>
      <c r="K1097" s="24">
        <f>IF(D1097="","",IFERROR(INDEX(Setup!$B$24:$B$59,MATCH(D1097,Setup!$A$24:$A$59,0)),"Check category"))</f>
        <v/>
      </c>
      <c r="L1097" s="25">
        <f>IF(A1097="","",DATE(YEAR(A1097),MONTH(A1097),1))</f>
        <v/>
      </c>
      <c r="M1097" s="26">
        <f>IF(AND(E1097="",F1097=""),"",N(E1097)-N(F1097))</f>
        <v/>
      </c>
      <c r="N1097" s="28" t="n"/>
    </row>
    <row r="1098">
      <c r="A1098" s="27" t="n"/>
      <c r="B1098" s="28" t="n"/>
      <c r="C1098" s="28" t="n"/>
      <c r="D1098" s="28" t="n"/>
      <c r="E1098" s="29" t="n"/>
      <c r="F1098" s="29" t="n"/>
      <c r="G1098" s="28" t="n"/>
      <c r="H1098" s="28" t="n"/>
      <c r="I1098" s="28" t="n"/>
      <c r="J1098" s="28" t="n"/>
      <c r="K1098" s="24">
        <f>IF(D1098="","",IFERROR(INDEX(Setup!$B$24:$B$59,MATCH(D1098,Setup!$A$24:$A$59,0)),"Check category"))</f>
        <v/>
      </c>
      <c r="L1098" s="25">
        <f>IF(A1098="","",DATE(YEAR(A1098),MONTH(A1098),1))</f>
        <v/>
      </c>
      <c r="M1098" s="26">
        <f>IF(AND(E1098="",F1098=""),"",N(E1098)-N(F1098))</f>
        <v/>
      </c>
      <c r="N1098" s="28" t="n"/>
    </row>
    <row r="1099">
      <c r="A1099" s="27" t="n"/>
      <c r="B1099" s="28" t="n"/>
      <c r="C1099" s="28" t="n"/>
      <c r="D1099" s="28" t="n"/>
      <c r="E1099" s="29" t="n"/>
      <c r="F1099" s="29" t="n"/>
      <c r="G1099" s="28" t="n"/>
      <c r="H1099" s="28" t="n"/>
      <c r="I1099" s="28" t="n"/>
      <c r="J1099" s="28" t="n"/>
      <c r="K1099" s="24">
        <f>IF(D1099="","",IFERROR(INDEX(Setup!$B$24:$B$59,MATCH(D1099,Setup!$A$24:$A$59,0)),"Check category"))</f>
        <v/>
      </c>
      <c r="L1099" s="25">
        <f>IF(A1099="","",DATE(YEAR(A1099),MONTH(A1099),1))</f>
        <v/>
      </c>
      <c r="M1099" s="26">
        <f>IF(AND(E1099="",F1099=""),"",N(E1099)-N(F1099))</f>
        <v/>
      </c>
      <c r="N1099" s="28" t="n"/>
    </row>
    <row r="1100">
      <c r="A1100" s="27" t="n"/>
      <c r="B1100" s="28" t="n"/>
      <c r="C1100" s="28" t="n"/>
      <c r="D1100" s="28" t="n"/>
      <c r="E1100" s="29" t="n"/>
      <c r="F1100" s="29" t="n"/>
      <c r="G1100" s="28" t="n"/>
      <c r="H1100" s="28" t="n"/>
      <c r="I1100" s="28" t="n"/>
      <c r="J1100" s="28" t="n"/>
      <c r="K1100" s="24">
        <f>IF(D1100="","",IFERROR(INDEX(Setup!$B$24:$B$59,MATCH(D1100,Setup!$A$24:$A$59,0)),"Check category"))</f>
        <v/>
      </c>
      <c r="L1100" s="25">
        <f>IF(A1100="","",DATE(YEAR(A1100),MONTH(A1100),1))</f>
        <v/>
      </c>
      <c r="M1100" s="26">
        <f>IF(AND(E1100="",F1100=""),"",N(E1100)-N(F1100))</f>
        <v/>
      </c>
      <c r="N1100" s="28" t="n"/>
    </row>
    <row r="1101">
      <c r="A1101" s="27" t="n"/>
      <c r="B1101" s="28" t="n"/>
      <c r="C1101" s="28" t="n"/>
      <c r="D1101" s="28" t="n"/>
      <c r="E1101" s="29" t="n"/>
      <c r="F1101" s="29" t="n"/>
      <c r="G1101" s="28" t="n"/>
      <c r="H1101" s="28" t="n"/>
      <c r="I1101" s="28" t="n"/>
      <c r="J1101" s="28" t="n"/>
      <c r="K1101" s="24">
        <f>IF(D1101="","",IFERROR(INDEX(Setup!$B$24:$B$59,MATCH(D1101,Setup!$A$24:$A$59,0)),"Check category"))</f>
        <v/>
      </c>
      <c r="L1101" s="25">
        <f>IF(A1101="","",DATE(YEAR(A1101),MONTH(A1101),1))</f>
        <v/>
      </c>
      <c r="M1101" s="26">
        <f>IF(AND(E1101="",F1101=""),"",N(E1101)-N(F1101))</f>
        <v/>
      </c>
      <c r="N1101" s="28" t="n"/>
    </row>
    <row r="1102">
      <c r="A1102" s="27" t="n"/>
      <c r="B1102" s="28" t="n"/>
      <c r="C1102" s="28" t="n"/>
      <c r="D1102" s="28" t="n"/>
      <c r="E1102" s="29" t="n"/>
      <c r="F1102" s="29" t="n"/>
      <c r="G1102" s="28" t="n"/>
      <c r="H1102" s="28" t="n"/>
      <c r="I1102" s="28" t="n"/>
      <c r="J1102" s="28" t="n"/>
      <c r="K1102" s="24">
        <f>IF(D1102="","",IFERROR(INDEX(Setup!$B$24:$B$59,MATCH(D1102,Setup!$A$24:$A$59,0)),"Check category"))</f>
        <v/>
      </c>
      <c r="L1102" s="25">
        <f>IF(A1102="","",DATE(YEAR(A1102),MONTH(A1102),1))</f>
        <v/>
      </c>
      <c r="M1102" s="26">
        <f>IF(AND(E1102="",F1102=""),"",N(E1102)-N(F1102))</f>
        <v/>
      </c>
      <c r="N1102" s="28" t="n"/>
    </row>
    <row r="1103">
      <c r="A1103" s="27" t="n"/>
      <c r="B1103" s="28" t="n"/>
      <c r="C1103" s="28" t="n"/>
      <c r="D1103" s="28" t="n"/>
      <c r="E1103" s="29" t="n"/>
      <c r="F1103" s="29" t="n"/>
      <c r="G1103" s="28" t="n"/>
      <c r="H1103" s="28" t="n"/>
      <c r="I1103" s="28" t="n"/>
      <c r="J1103" s="28" t="n"/>
      <c r="K1103" s="24">
        <f>IF(D1103="","",IFERROR(INDEX(Setup!$B$24:$B$59,MATCH(D1103,Setup!$A$24:$A$59,0)),"Check category"))</f>
        <v/>
      </c>
      <c r="L1103" s="25">
        <f>IF(A1103="","",DATE(YEAR(A1103),MONTH(A1103),1))</f>
        <v/>
      </c>
      <c r="M1103" s="26">
        <f>IF(AND(E1103="",F1103=""),"",N(E1103)-N(F1103))</f>
        <v/>
      </c>
      <c r="N1103" s="28" t="n"/>
    </row>
    <row r="1104">
      <c r="A1104" s="27" t="n"/>
      <c r="B1104" s="28" t="n"/>
      <c r="C1104" s="28" t="n"/>
      <c r="D1104" s="28" t="n"/>
      <c r="E1104" s="29" t="n"/>
      <c r="F1104" s="29" t="n"/>
      <c r="G1104" s="28" t="n"/>
      <c r="H1104" s="28" t="n"/>
      <c r="I1104" s="28" t="n"/>
      <c r="J1104" s="28" t="n"/>
      <c r="K1104" s="24">
        <f>IF(D1104="","",IFERROR(INDEX(Setup!$B$24:$B$59,MATCH(D1104,Setup!$A$24:$A$59,0)),"Check category"))</f>
        <v/>
      </c>
      <c r="L1104" s="25">
        <f>IF(A1104="","",DATE(YEAR(A1104),MONTH(A1104),1))</f>
        <v/>
      </c>
      <c r="M1104" s="26">
        <f>IF(AND(E1104="",F1104=""),"",N(E1104)-N(F1104))</f>
        <v/>
      </c>
      <c r="N1104" s="28" t="n"/>
    </row>
    <row r="1105">
      <c r="A1105" s="27" t="n"/>
      <c r="B1105" s="28" t="n"/>
      <c r="C1105" s="28" t="n"/>
      <c r="D1105" s="28" t="n"/>
      <c r="E1105" s="29" t="n"/>
      <c r="F1105" s="29" t="n"/>
      <c r="G1105" s="28" t="n"/>
      <c r="H1105" s="28" t="n"/>
      <c r="I1105" s="28" t="n"/>
      <c r="J1105" s="28" t="n"/>
      <c r="K1105" s="24">
        <f>IF(D1105="","",IFERROR(INDEX(Setup!$B$24:$B$59,MATCH(D1105,Setup!$A$24:$A$59,0)),"Check category"))</f>
        <v/>
      </c>
      <c r="L1105" s="25">
        <f>IF(A1105="","",DATE(YEAR(A1105),MONTH(A1105),1))</f>
        <v/>
      </c>
      <c r="M1105" s="26">
        <f>IF(AND(E1105="",F1105=""),"",N(E1105)-N(F1105))</f>
        <v/>
      </c>
      <c r="N1105" s="28" t="n"/>
    </row>
    <row r="1106">
      <c r="A1106" s="27" t="n"/>
      <c r="B1106" s="28" t="n"/>
      <c r="C1106" s="28" t="n"/>
      <c r="D1106" s="28" t="n"/>
      <c r="E1106" s="29" t="n"/>
      <c r="F1106" s="29" t="n"/>
      <c r="G1106" s="28" t="n"/>
      <c r="H1106" s="28" t="n"/>
      <c r="I1106" s="28" t="n"/>
      <c r="J1106" s="28" t="n"/>
      <c r="K1106" s="24">
        <f>IF(D1106="","",IFERROR(INDEX(Setup!$B$24:$B$59,MATCH(D1106,Setup!$A$24:$A$59,0)),"Check category"))</f>
        <v/>
      </c>
      <c r="L1106" s="25">
        <f>IF(A1106="","",DATE(YEAR(A1106),MONTH(A1106),1))</f>
        <v/>
      </c>
      <c r="M1106" s="26">
        <f>IF(AND(E1106="",F1106=""),"",N(E1106)-N(F1106))</f>
        <v/>
      </c>
      <c r="N1106" s="28" t="n"/>
    </row>
    <row r="1107">
      <c r="A1107" s="27" t="n"/>
      <c r="B1107" s="28" t="n"/>
      <c r="C1107" s="28" t="n"/>
      <c r="D1107" s="28" t="n"/>
      <c r="E1107" s="29" t="n"/>
      <c r="F1107" s="29" t="n"/>
      <c r="G1107" s="28" t="n"/>
      <c r="H1107" s="28" t="n"/>
      <c r="I1107" s="28" t="n"/>
      <c r="J1107" s="28" t="n"/>
      <c r="K1107" s="24">
        <f>IF(D1107="","",IFERROR(INDEX(Setup!$B$24:$B$59,MATCH(D1107,Setup!$A$24:$A$59,0)),"Check category"))</f>
        <v/>
      </c>
      <c r="L1107" s="25">
        <f>IF(A1107="","",DATE(YEAR(A1107),MONTH(A1107),1))</f>
        <v/>
      </c>
      <c r="M1107" s="26">
        <f>IF(AND(E1107="",F1107=""),"",N(E1107)-N(F1107))</f>
        <v/>
      </c>
      <c r="N1107" s="28" t="n"/>
    </row>
    <row r="1108">
      <c r="A1108" s="27" t="n"/>
      <c r="B1108" s="28" t="n"/>
      <c r="C1108" s="28" t="n"/>
      <c r="D1108" s="28" t="n"/>
      <c r="E1108" s="29" t="n"/>
      <c r="F1108" s="29" t="n"/>
      <c r="G1108" s="28" t="n"/>
      <c r="H1108" s="28" t="n"/>
      <c r="I1108" s="28" t="n"/>
      <c r="J1108" s="28" t="n"/>
      <c r="K1108" s="24">
        <f>IF(D1108="","",IFERROR(INDEX(Setup!$B$24:$B$59,MATCH(D1108,Setup!$A$24:$A$59,0)),"Check category"))</f>
        <v/>
      </c>
      <c r="L1108" s="25">
        <f>IF(A1108="","",DATE(YEAR(A1108),MONTH(A1108),1))</f>
        <v/>
      </c>
      <c r="M1108" s="26">
        <f>IF(AND(E1108="",F1108=""),"",N(E1108)-N(F1108))</f>
        <v/>
      </c>
      <c r="N1108" s="28" t="n"/>
    </row>
    <row r="1109">
      <c r="A1109" s="27" t="n"/>
      <c r="B1109" s="28" t="n"/>
      <c r="C1109" s="28" t="n"/>
      <c r="D1109" s="28" t="n"/>
      <c r="E1109" s="29" t="n"/>
      <c r="F1109" s="29" t="n"/>
      <c r="G1109" s="28" t="n"/>
      <c r="H1109" s="28" t="n"/>
      <c r="I1109" s="28" t="n"/>
      <c r="J1109" s="28" t="n"/>
      <c r="K1109" s="24">
        <f>IF(D1109="","",IFERROR(INDEX(Setup!$B$24:$B$59,MATCH(D1109,Setup!$A$24:$A$59,0)),"Check category"))</f>
        <v/>
      </c>
      <c r="L1109" s="25">
        <f>IF(A1109="","",DATE(YEAR(A1109),MONTH(A1109),1))</f>
        <v/>
      </c>
      <c r="M1109" s="26">
        <f>IF(AND(E1109="",F1109=""),"",N(E1109)-N(F1109))</f>
        <v/>
      </c>
      <c r="N1109" s="28" t="n"/>
    </row>
    <row r="1110">
      <c r="A1110" s="27" t="n"/>
      <c r="B1110" s="28" t="n"/>
      <c r="C1110" s="28" t="n"/>
      <c r="D1110" s="28" t="n"/>
      <c r="E1110" s="29" t="n"/>
      <c r="F1110" s="29" t="n"/>
      <c r="G1110" s="28" t="n"/>
      <c r="H1110" s="28" t="n"/>
      <c r="I1110" s="28" t="n"/>
      <c r="J1110" s="28" t="n"/>
      <c r="K1110" s="24">
        <f>IF(D1110="","",IFERROR(INDEX(Setup!$B$24:$B$59,MATCH(D1110,Setup!$A$24:$A$59,0)),"Check category"))</f>
        <v/>
      </c>
      <c r="L1110" s="25">
        <f>IF(A1110="","",DATE(YEAR(A1110),MONTH(A1110),1))</f>
        <v/>
      </c>
      <c r="M1110" s="26">
        <f>IF(AND(E1110="",F1110=""),"",N(E1110)-N(F1110))</f>
        <v/>
      </c>
      <c r="N1110" s="28" t="n"/>
    </row>
    <row r="1111">
      <c r="A1111" s="27" t="n"/>
      <c r="B1111" s="28" t="n"/>
      <c r="C1111" s="28" t="n"/>
      <c r="D1111" s="28" t="n"/>
      <c r="E1111" s="29" t="n"/>
      <c r="F1111" s="29" t="n"/>
      <c r="G1111" s="28" t="n"/>
      <c r="H1111" s="28" t="n"/>
      <c r="I1111" s="28" t="n"/>
      <c r="J1111" s="28" t="n"/>
      <c r="K1111" s="24">
        <f>IF(D1111="","",IFERROR(INDEX(Setup!$B$24:$B$59,MATCH(D1111,Setup!$A$24:$A$59,0)),"Check category"))</f>
        <v/>
      </c>
      <c r="L1111" s="25">
        <f>IF(A1111="","",DATE(YEAR(A1111),MONTH(A1111),1))</f>
        <v/>
      </c>
      <c r="M1111" s="26">
        <f>IF(AND(E1111="",F1111=""),"",N(E1111)-N(F1111))</f>
        <v/>
      </c>
      <c r="N1111" s="28" t="n"/>
    </row>
    <row r="1112">
      <c r="A1112" s="27" t="n"/>
      <c r="B1112" s="28" t="n"/>
      <c r="C1112" s="28" t="n"/>
      <c r="D1112" s="28" t="n"/>
      <c r="E1112" s="29" t="n"/>
      <c r="F1112" s="29" t="n"/>
      <c r="G1112" s="28" t="n"/>
      <c r="H1112" s="28" t="n"/>
      <c r="I1112" s="28" t="n"/>
      <c r="J1112" s="28" t="n"/>
      <c r="K1112" s="24">
        <f>IF(D1112="","",IFERROR(INDEX(Setup!$B$24:$B$59,MATCH(D1112,Setup!$A$24:$A$59,0)),"Check category"))</f>
        <v/>
      </c>
      <c r="L1112" s="25">
        <f>IF(A1112="","",DATE(YEAR(A1112),MONTH(A1112),1))</f>
        <v/>
      </c>
      <c r="M1112" s="26">
        <f>IF(AND(E1112="",F1112=""),"",N(E1112)-N(F1112))</f>
        <v/>
      </c>
      <c r="N1112" s="28" t="n"/>
    </row>
    <row r="1113">
      <c r="A1113" s="27" t="n"/>
      <c r="B1113" s="28" t="n"/>
      <c r="C1113" s="28" t="n"/>
      <c r="D1113" s="28" t="n"/>
      <c r="E1113" s="29" t="n"/>
      <c r="F1113" s="29" t="n"/>
      <c r="G1113" s="28" t="n"/>
      <c r="H1113" s="28" t="n"/>
      <c r="I1113" s="28" t="n"/>
      <c r="J1113" s="28" t="n"/>
      <c r="K1113" s="24">
        <f>IF(D1113="","",IFERROR(INDEX(Setup!$B$24:$B$59,MATCH(D1113,Setup!$A$24:$A$59,0)),"Check category"))</f>
        <v/>
      </c>
      <c r="L1113" s="25">
        <f>IF(A1113="","",DATE(YEAR(A1113),MONTH(A1113),1))</f>
        <v/>
      </c>
      <c r="M1113" s="26">
        <f>IF(AND(E1113="",F1113=""),"",N(E1113)-N(F1113))</f>
        <v/>
      </c>
      <c r="N1113" s="28" t="n"/>
    </row>
    <row r="1114">
      <c r="A1114" s="27" t="n"/>
      <c r="B1114" s="28" t="n"/>
      <c r="C1114" s="28" t="n"/>
      <c r="D1114" s="28" t="n"/>
      <c r="E1114" s="29" t="n"/>
      <c r="F1114" s="29" t="n"/>
      <c r="G1114" s="28" t="n"/>
      <c r="H1114" s="28" t="n"/>
      <c r="I1114" s="28" t="n"/>
      <c r="J1114" s="28" t="n"/>
      <c r="K1114" s="24">
        <f>IF(D1114="","",IFERROR(INDEX(Setup!$B$24:$B$59,MATCH(D1114,Setup!$A$24:$A$59,0)),"Check category"))</f>
        <v/>
      </c>
      <c r="L1114" s="25">
        <f>IF(A1114="","",DATE(YEAR(A1114),MONTH(A1114),1))</f>
        <v/>
      </c>
      <c r="M1114" s="26">
        <f>IF(AND(E1114="",F1114=""),"",N(E1114)-N(F1114))</f>
        <v/>
      </c>
      <c r="N1114" s="28" t="n"/>
    </row>
    <row r="1115">
      <c r="A1115" s="27" t="n"/>
      <c r="B1115" s="28" t="n"/>
      <c r="C1115" s="28" t="n"/>
      <c r="D1115" s="28" t="n"/>
      <c r="E1115" s="29" t="n"/>
      <c r="F1115" s="29" t="n"/>
      <c r="G1115" s="28" t="n"/>
      <c r="H1115" s="28" t="n"/>
      <c r="I1115" s="28" t="n"/>
      <c r="J1115" s="28" t="n"/>
      <c r="K1115" s="24">
        <f>IF(D1115="","",IFERROR(INDEX(Setup!$B$24:$B$59,MATCH(D1115,Setup!$A$24:$A$59,0)),"Check category"))</f>
        <v/>
      </c>
      <c r="L1115" s="25">
        <f>IF(A1115="","",DATE(YEAR(A1115),MONTH(A1115),1))</f>
        <v/>
      </c>
      <c r="M1115" s="26">
        <f>IF(AND(E1115="",F1115=""),"",N(E1115)-N(F1115))</f>
        <v/>
      </c>
      <c r="N1115" s="28" t="n"/>
    </row>
    <row r="1116">
      <c r="A1116" s="27" t="n"/>
      <c r="B1116" s="28" t="n"/>
      <c r="C1116" s="28" t="n"/>
      <c r="D1116" s="28" t="n"/>
      <c r="E1116" s="29" t="n"/>
      <c r="F1116" s="29" t="n"/>
      <c r="G1116" s="28" t="n"/>
      <c r="H1116" s="28" t="n"/>
      <c r="I1116" s="28" t="n"/>
      <c r="J1116" s="28" t="n"/>
      <c r="K1116" s="24">
        <f>IF(D1116="","",IFERROR(INDEX(Setup!$B$24:$B$59,MATCH(D1116,Setup!$A$24:$A$59,0)),"Check category"))</f>
        <v/>
      </c>
      <c r="L1116" s="25">
        <f>IF(A1116="","",DATE(YEAR(A1116),MONTH(A1116),1))</f>
        <v/>
      </c>
      <c r="M1116" s="26">
        <f>IF(AND(E1116="",F1116=""),"",N(E1116)-N(F1116))</f>
        <v/>
      </c>
      <c r="N1116" s="28" t="n"/>
    </row>
    <row r="1117">
      <c r="A1117" s="27" t="n"/>
      <c r="B1117" s="28" t="n"/>
      <c r="C1117" s="28" t="n"/>
      <c r="D1117" s="28" t="n"/>
      <c r="E1117" s="29" t="n"/>
      <c r="F1117" s="29" t="n"/>
      <c r="G1117" s="28" t="n"/>
      <c r="H1117" s="28" t="n"/>
      <c r="I1117" s="28" t="n"/>
      <c r="J1117" s="28" t="n"/>
      <c r="K1117" s="24">
        <f>IF(D1117="","",IFERROR(INDEX(Setup!$B$24:$B$59,MATCH(D1117,Setup!$A$24:$A$59,0)),"Check category"))</f>
        <v/>
      </c>
      <c r="L1117" s="25">
        <f>IF(A1117="","",DATE(YEAR(A1117),MONTH(A1117),1))</f>
        <v/>
      </c>
      <c r="M1117" s="26">
        <f>IF(AND(E1117="",F1117=""),"",N(E1117)-N(F1117))</f>
        <v/>
      </c>
      <c r="N1117" s="28" t="n"/>
    </row>
    <row r="1118">
      <c r="A1118" s="27" t="n"/>
      <c r="B1118" s="28" t="n"/>
      <c r="C1118" s="28" t="n"/>
      <c r="D1118" s="28" t="n"/>
      <c r="E1118" s="29" t="n"/>
      <c r="F1118" s="29" t="n"/>
      <c r="G1118" s="28" t="n"/>
      <c r="H1118" s="28" t="n"/>
      <c r="I1118" s="28" t="n"/>
      <c r="J1118" s="28" t="n"/>
      <c r="K1118" s="24">
        <f>IF(D1118="","",IFERROR(INDEX(Setup!$B$24:$B$59,MATCH(D1118,Setup!$A$24:$A$59,0)),"Check category"))</f>
        <v/>
      </c>
      <c r="L1118" s="25">
        <f>IF(A1118="","",DATE(YEAR(A1118),MONTH(A1118),1))</f>
        <v/>
      </c>
      <c r="M1118" s="26">
        <f>IF(AND(E1118="",F1118=""),"",N(E1118)-N(F1118))</f>
        <v/>
      </c>
      <c r="N1118" s="28" t="n"/>
    </row>
    <row r="1119">
      <c r="A1119" s="27" t="n"/>
      <c r="B1119" s="28" t="n"/>
      <c r="C1119" s="28" t="n"/>
      <c r="D1119" s="28" t="n"/>
      <c r="E1119" s="29" t="n"/>
      <c r="F1119" s="29" t="n"/>
      <c r="G1119" s="28" t="n"/>
      <c r="H1119" s="28" t="n"/>
      <c r="I1119" s="28" t="n"/>
      <c r="J1119" s="28" t="n"/>
      <c r="K1119" s="24">
        <f>IF(D1119="","",IFERROR(INDEX(Setup!$B$24:$B$59,MATCH(D1119,Setup!$A$24:$A$59,0)),"Check category"))</f>
        <v/>
      </c>
      <c r="L1119" s="25">
        <f>IF(A1119="","",DATE(YEAR(A1119),MONTH(A1119),1))</f>
        <v/>
      </c>
      <c r="M1119" s="26">
        <f>IF(AND(E1119="",F1119=""),"",N(E1119)-N(F1119))</f>
        <v/>
      </c>
      <c r="N1119" s="28" t="n"/>
    </row>
    <row r="1120">
      <c r="A1120" s="27" t="n"/>
      <c r="B1120" s="28" t="n"/>
      <c r="C1120" s="28" t="n"/>
      <c r="D1120" s="28" t="n"/>
      <c r="E1120" s="29" t="n"/>
      <c r="F1120" s="29" t="n"/>
      <c r="G1120" s="28" t="n"/>
      <c r="H1120" s="28" t="n"/>
      <c r="I1120" s="28" t="n"/>
      <c r="J1120" s="28" t="n"/>
      <c r="K1120" s="24">
        <f>IF(D1120="","",IFERROR(INDEX(Setup!$B$24:$B$59,MATCH(D1120,Setup!$A$24:$A$59,0)),"Check category"))</f>
        <v/>
      </c>
      <c r="L1120" s="25">
        <f>IF(A1120="","",DATE(YEAR(A1120),MONTH(A1120),1))</f>
        <v/>
      </c>
      <c r="M1120" s="26">
        <f>IF(AND(E1120="",F1120=""),"",N(E1120)-N(F1120))</f>
        <v/>
      </c>
      <c r="N1120" s="28" t="n"/>
    </row>
    <row r="1121">
      <c r="A1121" s="27" t="n"/>
      <c r="B1121" s="28" t="n"/>
      <c r="C1121" s="28" t="n"/>
      <c r="D1121" s="28" t="n"/>
      <c r="E1121" s="29" t="n"/>
      <c r="F1121" s="29" t="n"/>
      <c r="G1121" s="28" t="n"/>
      <c r="H1121" s="28" t="n"/>
      <c r="I1121" s="28" t="n"/>
      <c r="J1121" s="28" t="n"/>
      <c r="K1121" s="24">
        <f>IF(D1121="","",IFERROR(INDEX(Setup!$B$24:$B$59,MATCH(D1121,Setup!$A$24:$A$59,0)),"Check category"))</f>
        <v/>
      </c>
      <c r="L1121" s="25">
        <f>IF(A1121="","",DATE(YEAR(A1121),MONTH(A1121),1))</f>
        <v/>
      </c>
      <c r="M1121" s="26">
        <f>IF(AND(E1121="",F1121=""),"",N(E1121)-N(F1121))</f>
        <v/>
      </c>
      <c r="N1121" s="28" t="n"/>
    </row>
    <row r="1122">
      <c r="A1122" s="27" t="n"/>
      <c r="B1122" s="28" t="n"/>
      <c r="C1122" s="28" t="n"/>
      <c r="D1122" s="28" t="n"/>
      <c r="E1122" s="29" t="n"/>
      <c r="F1122" s="29" t="n"/>
      <c r="G1122" s="28" t="n"/>
      <c r="H1122" s="28" t="n"/>
      <c r="I1122" s="28" t="n"/>
      <c r="J1122" s="28" t="n"/>
      <c r="K1122" s="24">
        <f>IF(D1122="","",IFERROR(INDEX(Setup!$B$24:$B$59,MATCH(D1122,Setup!$A$24:$A$59,0)),"Check category"))</f>
        <v/>
      </c>
      <c r="L1122" s="25">
        <f>IF(A1122="","",DATE(YEAR(A1122),MONTH(A1122),1))</f>
        <v/>
      </c>
      <c r="M1122" s="26">
        <f>IF(AND(E1122="",F1122=""),"",N(E1122)-N(F1122))</f>
        <v/>
      </c>
      <c r="N1122" s="28" t="n"/>
    </row>
    <row r="1123">
      <c r="A1123" s="27" t="n"/>
      <c r="B1123" s="28" t="n"/>
      <c r="C1123" s="28" t="n"/>
      <c r="D1123" s="28" t="n"/>
      <c r="E1123" s="29" t="n"/>
      <c r="F1123" s="29" t="n"/>
      <c r="G1123" s="28" t="n"/>
      <c r="H1123" s="28" t="n"/>
      <c r="I1123" s="28" t="n"/>
      <c r="J1123" s="28" t="n"/>
      <c r="K1123" s="24">
        <f>IF(D1123="","",IFERROR(INDEX(Setup!$B$24:$B$59,MATCH(D1123,Setup!$A$24:$A$59,0)),"Check category"))</f>
        <v/>
      </c>
      <c r="L1123" s="25">
        <f>IF(A1123="","",DATE(YEAR(A1123),MONTH(A1123),1))</f>
        <v/>
      </c>
      <c r="M1123" s="26">
        <f>IF(AND(E1123="",F1123=""),"",N(E1123)-N(F1123))</f>
        <v/>
      </c>
      <c r="N1123" s="28" t="n"/>
    </row>
    <row r="1124">
      <c r="A1124" s="27" t="n"/>
      <c r="B1124" s="28" t="n"/>
      <c r="C1124" s="28" t="n"/>
      <c r="D1124" s="28" t="n"/>
      <c r="E1124" s="29" t="n"/>
      <c r="F1124" s="29" t="n"/>
      <c r="G1124" s="28" t="n"/>
      <c r="H1124" s="28" t="n"/>
      <c r="I1124" s="28" t="n"/>
      <c r="J1124" s="28" t="n"/>
      <c r="K1124" s="24">
        <f>IF(D1124="","",IFERROR(INDEX(Setup!$B$24:$B$59,MATCH(D1124,Setup!$A$24:$A$59,0)),"Check category"))</f>
        <v/>
      </c>
      <c r="L1124" s="25">
        <f>IF(A1124="","",DATE(YEAR(A1124),MONTH(A1124),1))</f>
        <v/>
      </c>
      <c r="M1124" s="26">
        <f>IF(AND(E1124="",F1124=""),"",N(E1124)-N(F1124))</f>
        <v/>
      </c>
      <c r="N1124" s="28" t="n"/>
    </row>
    <row r="1125">
      <c r="A1125" s="27" t="n"/>
      <c r="B1125" s="28" t="n"/>
      <c r="C1125" s="28" t="n"/>
      <c r="D1125" s="28" t="n"/>
      <c r="E1125" s="29" t="n"/>
      <c r="F1125" s="29" t="n"/>
      <c r="G1125" s="28" t="n"/>
      <c r="H1125" s="28" t="n"/>
      <c r="I1125" s="28" t="n"/>
      <c r="J1125" s="28" t="n"/>
      <c r="K1125" s="24">
        <f>IF(D1125="","",IFERROR(INDEX(Setup!$B$24:$B$59,MATCH(D1125,Setup!$A$24:$A$59,0)),"Check category"))</f>
        <v/>
      </c>
      <c r="L1125" s="25">
        <f>IF(A1125="","",DATE(YEAR(A1125),MONTH(A1125),1))</f>
        <v/>
      </c>
      <c r="M1125" s="26">
        <f>IF(AND(E1125="",F1125=""),"",N(E1125)-N(F1125))</f>
        <v/>
      </c>
      <c r="N1125" s="28" t="n"/>
    </row>
    <row r="1126">
      <c r="A1126" s="27" t="n"/>
      <c r="B1126" s="28" t="n"/>
      <c r="C1126" s="28" t="n"/>
      <c r="D1126" s="28" t="n"/>
      <c r="E1126" s="29" t="n"/>
      <c r="F1126" s="29" t="n"/>
      <c r="G1126" s="28" t="n"/>
      <c r="H1126" s="28" t="n"/>
      <c r="I1126" s="28" t="n"/>
      <c r="J1126" s="28" t="n"/>
      <c r="K1126" s="24">
        <f>IF(D1126="","",IFERROR(INDEX(Setup!$B$24:$B$59,MATCH(D1126,Setup!$A$24:$A$59,0)),"Check category"))</f>
        <v/>
      </c>
      <c r="L1126" s="25">
        <f>IF(A1126="","",DATE(YEAR(A1126),MONTH(A1126),1))</f>
        <v/>
      </c>
      <c r="M1126" s="26">
        <f>IF(AND(E1126="",F1126=""),"",N(E1126)-N(F1126))</f>
        <v/>
      </c>
      <c r="N1126" s="28" t="n"/>
    </row>
    <row r="1127">
      <c r="A1127" s="27" t="n"/>
      <c r="B1127" s="28" t="n"/>
      <c r="C1127" s="28" t="n"/>
      <c r="D1127" s="28" t="n"/>
      <c r="E1127" s="29" t="n"/>
      <c r="F1127" s="29" t="n"/>
      <c r="G1127" s="28" t="n"/>
      <c r="H1127" s="28" t="n"/>
      <c r="I1127" s="28" t="n"/>
      <c r="J1127" s="28" t="n"/>
      <c r="K1127" s="24">
        <f>IF(D1127="","",IFERROR(INDEX(Setup!$B$24:$B$59,MATCH(D1127,Setup!$A$24:$A$59,0)),"Check category"))</f>
        <v/>
      </c>
      <c r="L1127" s="25">
        <f>IF(A1127="","",DATE(YEAR(A1127),MONTH(A1127),1))</f>
        <v/>
      </c>
      <c r="M1127" s="26">
        <f>IF(AND(E1127="",F1127=""),"",N(E1127)-N(F1127))</f>
        <v/>
      </c>
      <c r="N1127" s="28" t="n"/>
    </row>
    <row r="1128">
      <c r="A1128" s="27" t="n"/>
      <c r="B1128" s="28" t="n"/>
      <c r="C1128" s="28" t="n"/>
      <c r="D1128" s="28" t="n"/>
      <c r="E1128" s="29" t="n"/>
      <c r="F1128" s="29" t="n"/>
      <c r="G1128" s="28" t="n"/>
      <c r="H1128" s="28" t="n"/>
      <c r="I1128" s="28" t="n"/>
      <c r="J1128" s="28" t="n"/>
      <c r="K1128" s="24">
        <f>IF(D1128="","",IFERROR(INDEX(Setup!$B$24:$B$59,MATCH(D1128,Setup!$A$24:$A$59,0)),"Check category"))</f>
        <v/>
      </c>
      <c r="L1128" s="25">
        <f>IF(A1128="","",DATE(YEAR(A1128),MONTH(A1128),1))</f>
        <v/>
      </c>
      <c r="M1128" s="26">
        <f>IF(AND(E1128="",F1128=""),"",N(E1128)-N(F1128))</f>
        <v/>
      </c>
      <c r="N1128" s="28" t="n"/>
    </row>
    <row r="1129">
      <c r="A1129" s="27" t="n"/>
      <c r="B1129" s="28" t="n"/>
      <c r="C1129" s="28" t="n"/>
      <c r="D1129" s="28" t="n"/>
      <c r="E1129" s="29" t="n"/>
      <c r="F1129" s="29" t="n"/>
      <c r="G1129" s="28" t="n"/>
      <c r="H1129" s="28" t="n"/>
      <c r="I1129" s="28" t="n"/>
      <c r="J1129" s="28" t="n"/>
      <c r="K1129" s="24">
        <f>IF(D1129="","",IFERROR(INDEX(Setup!$B$24:$B$59,MATCH(D1129,Setup!$A$24:$A$59,0)),"Check category"))</f>
        <v/>
      </c>
      <c r="L1129" s="25">
        <f>IF(A1129="","",DATE(YEAR(A1129),MONTH(A1129),1))</f>
        <v/>
      </c>
      <c r="M1129" s="26">
        <f>IF(AND(E1129="",F1129=""),"",N(E1129)-N(F1129))</f>
        <v/>
      </c>
      <c r="N1129" s="28" t="n"/>
    </row>
    <row r="1130">
      <c r="A1130" s="27" t="n"/>
      <c r="B1130" s="28" t="n"/>
      <c r="C1130" s="28" t="n"/>
      <c r="D1130" s="28" t="n"/>
      <c r="E1130" s="29" t="n"/>
      <c r="F1130" s="29" t="n"/>
      <c r="G1130" s="28" t="n"/>
      <c r="H1130" s="28" t="n"/>
      <c r="I1130" s="28" t="n"/>
      <c r="J1130" s="28" t="n"/>
      <c r="K1130" s="24">
        <f>IF(D1130="","",IFERROR(INDEX(Setup!$B$24:$B$59,MATCH(D1130,Setup!$A$24:$A$59,0)),"Check category"))</f>
        <v/>
      </c>
      <c r="L1130" s="25">
        <f>IF(A1130="","",DATE(YEAR(A1130),MONTH(A1130),1))</f>
        <v/>
      </c>
      <c r="M1130" s="26">
        <f>IF(AND(E1130="",F1130=""),"",N(E1130)-N(F1130))</f>
        <v/>
      </c>
      <c r="N1130" s="28" t="n"/>
    </row>
    <row r="1131">
      <c r="A1131" s="27" t="n"/>
      <c r="B1131" s="28" t="n"/>
      <c r="C1131" s="28" t="n"/>
      <c r="D1131" s="28" t="n"/>
      <c r="E1131" s="29" t="n"/>
      <c r="F1131" s="29" t="n"/>
      <c r="G1131" s="28" t="n"/>
      <c r="H1131" s="28" t="n"/>
      <c r="I1131" s="28" t="n"/>
      <c r="J1131" s="28" t="n"/>
      <c r="K1131" s="24">
        <f>IF(D1131="","",IFERROR(INDEX(Setup!$B$24:$B$59,MATCH(D1131,Setup!$A$24:$A$59,0)),"Check category"))</f>
        <v/>
      </c>
      <c r="L1131" s="25">
        <f>IF(A1131="","",DATE(YEAR(A1131),MONTH(A1131),1))</f>
        <v/>
      </c>
      <c r="M1131" s="26">
        <f>IF(AND(E1131="",F1131=""),"",N(E1131)-N(F1131))</f>
        <v/>
      </c>
      <c r="N1131" s="28" t="n"/>
    </row>
    <row r="1132">
      <c r="A1132" s="27" t="n"/>
      <c r="B1132" s="28" t="n"/>
      <c r="C1132" s="28" t="n"/>
      <c r="D1132" s="28" t="n"/>
      <c r="E1132" s="29" t="n"/>
      <c r="F1132" s="29" t="n"/>
      <c r="G1132" s="28" t="n"/>
      <c r="H1132" s="28" t="n"/>
      <c r="I1132" s="28" t="n"/>
      <c r="J1132" s="28" t="n"/>
      <c r="K1132" s="24">
        <f>IF(D1132="","",IFERROR(INDEX(Setup!$B$24:$B$59,MATCH(D1132,Setup!$A$24:$A$59,0)),"Check category"))</f>
        <v/>
      </c>
      <c r="L1132" s="25">
        <f>IF(A1132="","",DATE(YEAR(A1132),MONTH(A1132),1))</f>
        <v/>
      </c>
      <c r="M1132" s="26">
        <f>IF(AND(E1132="",F1132=""),"",N(E1132)-N(F1132))</f>
        <v/>
      </c>
      <c r="N1132" s="28" t="n"/>
    </row>
    <row r="1133">
      <c r="A1133" s="27" t="n"/>
      <c r="B1133" s="28" t="n"/>
      <c r="C1133" s="28" t="n"/>
      <c r="D1133" s="28" t="n"/>
      <c r="E1133" s="29" t="n"/>
      <c r="F1133" s="29" t="n"/>
      <c r="G1133" s="28" t="n"/>
      <c r="H1133" s="28" t="n"/>
      <c r="I1133" s="28" t="n"/>
      <c r="J1133" s="28" t="n"/>
      <c r="K1133" s="24">
        <f>IF(D1133="","",IFERROR(INDEX(Setup!$B$24:$B$59,MATCH(D1133,Setup!$A$24:$A$59,0)),"Check category"))</f>
        <v/>
      </c>
      <c r="L1133" s="25">
        <f>IF(A1133="","",DATE(YEAR(A1133),MONTH(A1133),1))</f>
        <v/>
      </c>
      <c r="M1133" s="26">
        <f>IF(AND(E1133="",F1133=""),"",N(E1133)-N(F1133))</f>
        <v/>
      </c>
      <c r="N1133" s="28" t="n"/>
    </row>
    <row r="1134">
      <c r="A1134" s="27" t="n"/>
      <c r="B1134" s="28" t="n"/>
      <c r="C1134" s="28" t="n"/>
      <c r="D1134" s="28" t="n"/>
      <c r="E1134" s="29" t="n"/>
      <c r="F1134" s="29" t="n"/>
      <c r="G1134" s="28" t="n"/>
      <c r="H1134" s="28" t="n"/>
      <c r="I1134" s="28" t="n"/>
      <c r="J1134" s="28" t="n"/>
      <c r="K1134" s="24">
        <f>IF(D1134="","",IFERROR(INDEX(Setup!$B$24:$B$59,MATCH(D1134,Setup!$A$24:$A$59,0)),"Check category"))</f>
        <v/>
      </c>
      <c r="L1134" s="25">
        <f>IF(A1134="","",DATE(YEAR(A1134),MONTH(A1134),1))</f>
        <v/>
      </c>
      <c r="M1134" s="26">
        <f>IF(AND(E1134="",F1134=""),"",N(E1134)-N(F1134))</f>
        <v/>
      </c>
      <c r="N1134" s="28" t="n"/>
    </row>
    <row r="1135">
      <c r="A1135" s="27" t="n"/>
      <c r="B1135" s="28" t="n"/>
      <c r="C1135" s="28" t="n"/>
      <c r="D1135" s="28" t="n"/>
      <c r="E1135" s="29" t="n"/>
      <c r="F1135" s="29" t="n"/>
      <c r="G1135" s="28" t="n"/>
      <c r="H1135" s="28" t="n"/>
      <c r="I1135" s="28" t="n"/>
      <c r="J1135" s="28" t="n"/>
      <c r="K1135" s="24">
        <f>IF(D1135="","",IFERROR(INDEX(Setup!$B$24:$B$59,MATCH(D1135,Setup!$A$24:$A$59,0)),"Check category"))</f>
        <v/>
      </c>
      <c r="L1135" s="25">
        <f>IF(A1135="","",DATE(YEAR(A1135),MONTH(A1135),1))</f>
        <v/>
      </c>
      <c r="M1135" s="26">
        <f>IF(AND(E1135="",F1135=""),"",N(E1135)-N(F1135))</f>
        <v/>
      </c>
      <c r="N1135" s="28" t="n"/>
    </row>
    <row r="1136">
      <c r="A1136" s="27" t="n"/>
      <c r="B1136" s="28" t="n"/>
      <c r="C1136" s="28" t="n"/>
      <c r="D1136" s="28" t="n"/>
      <c r="E1136" s="29" t="n"/>
      <c r="F1136" s="29" t="n"/>
      <c r="G1136" s="28" t="n"/>
      <c r="H1136" s="28" t="n"/>
      <c r="I1136" s="28" t="n"/>
      <c r="J1136" s="28" t="n"/>
      <c r="K1136" s="24">
        <f>IF(D1136="","",IFERROR(INDEX(Setup!$B$24:$B$59,MATCH(D1136,Setup!$A$24:$A$59,0)),"Check category"))</f>
        <v/>
      </c>
      <c r="L1136" s="25">
        <f>IF(A1136="","",DATE(YEAR(A1136),MONTH(A1136),1))</f>
        <v/>
      </c>
      <c r="M1136" s="26">
        <f>IF(AND(E1136="",F1136=""),"",N(E1136)-N(F1136))</f>
        <v/>
      </c>
      <c r="N1136" s="28" t="n"/>
    </row>
    <row r="1137">
      <c r="A1137" s="27" t="n"/>
      <c r="B1137" s="28" t="n"/>
      <c r="C1137" s="28" t="n"/>
      <c r="D1137" s="28" t="n"/>
      <c r="E1137" s="29" t="n"/>
      <c r="F1137" s="29" t="n"/>
      <c r="G1137" s="28" t="n"/>
      <c r="H1137" s="28" t="n"/>
      <c r="I1137" s="28" t="n"/>
      <c r="J1137" s="28" t="n"/>
      <c r="K1137" s="24">
        <f>IF(D1137="","",IFERROR(INDEX(Setup!$B$24:$B$59,MATCH(D1137,Setup!$A$24:$A$59,0)),"Check category"))</f>
        <v/>
      </c>
      <c r="L1137" s="25">
        <f>IF(A1137="","",DATE(YEAR(A1137),MONTH(A1137),1))</f>
        <v/>
      </c>
      <c r="M1137" s="26">
        <f>IF(AND(E1137="",F1137=""),"",N(E1137)-N(F1137))</f>
        <v/>
      </c>
      <c r="N1137" s="28" t="n"/>
    </row>
    <row r="1138">
      <c r="A1138" s="27" t="n"/>
      <c r="B1138" s="28" t="n"/>
      <c r="C1138" s="28" t="n"/>
      <c r="D1138" s="28" t="n"/>
      <c r="E1138" s="29" t="n"/>
      <c r="F1138" s="29" t="n"/>
      <c r="G1138" s="28" t="n"/>
      <c r="H1138" s="28" t="n"/>
      <c r="I1138" s="28" t="n"/>
      <c r="J1138" s="28" t="n"/>
      <c r="K1138" s="24">
        <f>IF(D1138="","",IFERROR(INDEX(Setup!$B$24:$B$59,MATCH(D1138,Setup!$A$24:$A$59,0)),"Check category"))</f>
        <v/>
      </c>
      <c r="L1138" s="25">
        <f>IF(A1138="","",DATE(YEAR(A1138),MONTH(A1138),1))</f>
        <v/>
      </c>
      <c r="M1138" s="26">
        <f>IF(AND(E1138="",F1138=""),"",N(E1138)-N(F1138))</f>
        <v/>
      </c>
      <c r="N1138" s="28" t="n"/>
    </row>
    <row r="1139">
      <c r="A1139" s="27" t="n"/>
      <c r="B1139" s="28" t="n"/>
      <c r="C1139" s="28" t="n"/>
      <c r="D1139" s="28" t="n"/>
      <c r="E1139" s="29" t="n"/>
      <c r="F1139" s="29" t="n"/>
      <c r="G1139" s="28" t="n"/>
      <c r="H1139" s="28" t="n"/>
      <c r="I1139" s="28" t="n"/>
      <c r="J1139" s="28" t="n"/>
      <c r="K1139" s="24">
        <f>IF(D1139="","",IFERROR(INDEX(Setup!$B$24:$B$59,MATCH(D1139,Setup!$A$24:$A$59,0)),"Check category"))</f>
        <v/>
      </c>
      <c r="L1139" s="25">
        <f>IF(A1139="","",DATE(YEAR(A1139),MONTH(A1139),1))</f>
        <v/>
      </c>
      <c r="M1139" s="26">
        <f>IF(AND(E1139="",F1139=""),"",N(E1139)-N(F1139))</f>
        <v/>
      </c>
      <c r="N1139" s="28" t="n"/>
    </row>
    <row r="1140">
      <c r="A1140" s="27" t="n"/>
      <c r="B1140" s="28" t="n"/>
      <c r="C1140" s="28" t="n"/>
      <c r="D1140" s="28" t="n"/>
      <c r="E1140" s="29" t="n"/>
      <c r="F1140" s="29" t="n"/>
      <c r="G1140" s="28" t="n"/>
      <c r="H1140" s="28" t="n"/>
      <c r="I1140" s="28" t="n"/>
      <c r="J1140" s="28" t="n"/>
      <c r="K1140" s="24">
        <f>IF(D1140="","",IFERROR(INDEX(Setup!$B$24:$B$59,MATCH(D1140,Setup!$A$24:$A$59,0)),"Check category"))</f>
        <v/>
      </c>
      <c r="L1140" s="25">
        <f>IF(A1140="","",DATE(YEAR(A1140),MONTH(A1140),1))</f>
        <v/>
      </c>
      <c r="M1140" s="26">
        <f>IF(AND(E1140="",F1140=""),"",N(E1140)-N(F1140))</f>
        <v/>
      </c>
      <c r="N1140" s="28" t="n"/>
    </row>
    <row r="1141">
      <c r="A1141" s="27" t="n"/>
      <c r="B1141" s="28" t="n"/>
      <c r="C1141" s="28" t="n"/>
      <c r="D1141" s="28" t="n"/>
      <c r="E1141" s="29" t="n"/>
      <c r="F1141" s="29" t="n"/>
      <c r="G1141" s="28" t="n"/>
      <c r="H1141" s="28" t="n"/>
      <c r="I1141" s="28" t="n"/>
      <c r="J1141" s="28" t="n"/>
      <c r="K1141" s="24">
        <f>IF(D1141="","",IFERROR(INDEX(Setup!$B$24:$B$59,MATCH(D1141,Setup!$A$24:$A$59,0)),"Check category"))</f>
        <v/>
      </c>
      <c r="L1141" s="25">
        <f>IF(A1141="","",DATE(YEAR(A1141),MONTH(A1141),1))</f>
        <v/>
      </c>
      <c r="M1141" s="26">
        <f>IF(AND(E1141="",F1141=""),"",N(E1141)-N(F1141))</f>
        <v/>
      </c>
      <c r="N1141" s="28" t="n"/>
    </row>
    <row r="1142">
      <c r="A1142" s="27" t="n"/>
      <c r="B1142" s="28" t="n"/>
      <c r="C1142" s="28" t="n"/>
      <c r="D1142" s="28" t="n"/>
      <c r="E1142" s="29" t="n"/>
      <c r="F1142" s="29" t="n"/>
      <c r="G1142" s="28" t="n"/>
      <c r="H1142" s="28" t="n"/>
      <c r="I1142" s="28" t="n"/>
      <c r="J1142" s="28" t="n"/>
      <c r="K1142" s="24">
        <f>IF(D1142="","",IFERROR(INDEX(Setup!$B$24:$B$59,MATCH(D1142,Setup!$A$24:$A$59,0)),"Check category"))</f>
        <v/>
      </c>
      <c r="L1142" s="25">
        <f>IF(A1142="","",DATE(YEAR(A1142),MONTH(A1142),1))</f>
        <v/>
      </c>
      <c r="M1142" s="26">
        <f>IF(AND(E1142="",F1142=""),"",N(E1142)-N(F1142))</f>
        <v/>
      </c>
      <c r="N1142" s="28" t="n"/>
    </row>
    <row r="1143">
      <c r="A1143" s="27" t="n"/>
      <c r="B1143" s="28" t="n"/>
      <c r="C1143" s="28" t="n"/>
      <c r="D1143" s="28" t="n"/>
      <c r="E1143" s="29" t="n"/>
      <c r="F1143" s="29" t="n"/>
      <c r="G1143" s="28" t="n"/>
      <c r="H1143" s="28" t="n"/>
      <c r="I1143" s="28" t="n"/>
      <c r="J1143" s="28" t="n"/>
      <c r="K1143" s="24">
        <f>IF(D1143="","",IFERROR(INDEX(Setup!$B$24:$B$59,MATCH(D1143,Setup!$A$24:$A$59,0)),"Check category"))</f>
        <v/>
      </c>
      <c r="L1143" s="25">
        <f>IF(A1143="","",DATE(YEAR(A1143),MONTH(A1143),1))</f>
        <v/>
      </c>
      <c r="M1143" s="26">
        <f>IF(AND(E1143="",F1143=""),"",N(E1143)-N(F1143))</f>
        <v/>
      </c>
      <c r="N1143" s="28" t="n"/>
    </row>
    <row r="1144">
      <c r="A1144" s="27" t="n"/>
      <c r="B1144" s="28" t="n"/>
      <c r="C1144" s="28" t="n"/>
      <c r="D1144" s="28" t="n"/>
      <c r="E1144" s="29" t="n"/>
      <c r="F1144" s="29" t="n"/>
      <c r="G1144" s="28" t="n"/>
      <c r="H1144" s="28" t="n"/>
      <c r="I1144" s="28" t="n"/>
      <c r="J1144" s="28" t="n"/>
      <c r="K1144" s="24">
        <f>IF(D1144="","",IFERROR(INDEX(Setup!$B$24:$B$59,MATCH(D1144,Setup!$A$24:$A$59,0)),"Check category"))</f>
        <v/>
      </c>
      <c r="L1144" s="25">
        <f>IF(A1144="","",DATE(YEAR(A1144),MONTH(A1144),1))</f>
        <v/>
      </c>
      <c r="M1144" s="26">
        <f>IF(AND(E1144="",F1144=""),"",N(E1144)-N(F1144))</f>
        <v/>
      </c>
      <c r="N1144" s="28" t="n"/>
    </row>
    <row r="1145">
      <c r="A1145" s="27" t="n"/>
      <c r="B1145" s="28" t="n"/>
      <c r="C1145" s="28" t="n"/>
      <c r="D1145" s="28" t="n"/>
      <c r="E1145" s="29" t="n"/>
      <c r="F1145" s="29" t="n"/>
      <c r="G1145" s="28" t="n"/>
      <c r="H1145" s="28" t="n"/>
      <c r="I1145" s="28" t="n"/>
      <c r="J1145" s="28" t="n"/>
      <c r="K1145" s="24">
        <f>IF(D1145="","",IFERROR(INDEX(Setup!$B$24:$B$59,MATCH(D1145,Setup!$A$24:$A$59,0)),"Check category"))</f>
        <v/>
      </c>
      <c r="L1145" s="25">
        <f>IF(A1145="","",DATE(YEAR(A1145),MONTH(A1145),1))</f>
        <v/>
      </c>
      <c r="M1145" s="26">
        <f>IF(AND(E1145="",F1145=""),"",N(E1145)-N(F1145))</f>
        <v/>
      </c>
      <c r="N1145" s="28" t="n"/>
    </row>
    <row r="1146">
      <c r="A1146" s="27" t="n"/>
      <c r="B1146" s="28" t="n"/>
      <c r="C1146" s="28" t="n"/>
      <c r="D1146" s="28" t="n"/>
      <c r="E1146" s="29" t="n"/>
      <c r="F1146" s="29" t="n"/>
      <c r="G1146" s="28" t="n"/>
      <c r="H1146" s="28" t="n"/>
      <c r="I1146" s="28" t="n"/>
      <c r="J1146" s="28" t="n"/>
      <c r="K1146" s="24">
        <f>IF(D1146="","",IFERROR(INDEX(Setup!$B$24:$B$59,MATCH(D1146,Setup!$A$24:$A$59,0)),"Check category"))</f>
        <v/>
      </c>
      <c r="L1146" s="25">
        <f>IF(A1146="","",DATE(YEAR(A1146),MONTH(A1146),1))</f>
        <v/>
      </c>
      <c r="M1146" s="26">
        <f>IF(AND(E1146="",F1146=""),"",N(E1146)-N(F1146))</f>
        <v/>
      </c>
      <c r="N1146" s="28" t="n"/>
    </row>
    <row r="1147">
      <c r="A1147" s="27" t="n"/>
      <c r="B1147" s="28" t="n"/>
      <c r="C1147" s="28" t="n"/>
      <c r="D1147" s="28" t="n"/>
      <c r="E1147" s="29" t="n"/>
      <c r="F1147" s="29" t="n"/>
      <c r="G1147" s="28" t="n"/>
      <c r="H1147" s="28" t="n"/>
      <c r="I1147" s="28" t="n"/>
      <c r="J1147" s="28" t="n"/>
      <c r="K1147" s="24">
        <f>IF(D1147="","",IFERROR(INDEX(Setup!$B$24:$B$59,MATCH(D1147,Setup!$A$24:$A$59,0)),"Check category"))</f>
        <v/>
      </c>
      <c r="L1147" s="25">
        <f>IF(A1147="","",DATE(YEAR(A1147),MONTH(A1147),1))</f>
        <v/>
      </c>
      <c r="M1147" s="26">
        <f>IF(AND(E1147="",F1147=""),"",N(E1147)-N(F1147))</f>
        <v/>
      </c>
      <c r="N1147" s="28" t="n"/>
    </row>
    <row r="1148">
      <c r="A1148" s="27" t="n"/>
      <c r="B1148" s="28" t="n"/>
      <c r="C1148" s="28" t="n"/>
      <c r="D1148" s="28" t="n"/>
      <c r="E1148" s="29" t="n"/>
      <c r="F1148" s="29" t="n"/>
      <c r="G1148" s="28" t="n"/>
      <c r="H1148" s="28" t="n"/>
      <c r="I1148" s="28" t="n"/>
      <c r="J1148" s="28" t="n"/>
      <c r="K1148" s="24">
        <f>IF(D1148="","",IFERROR(INDEX(Setup!$B$24:$B$59,MATCH(D1148,Setup!$A$24:$A$59,0)),"Check category"))</f>
        <v/>
      </c>
      <c r="L1148" s="25">
        <f>IF(A1148="","",DATE(YEAR(A1148),MONTH(A1148),1))</f>
        <v/>
      </c>
      <c r="M1148" s="26">
        <f>IF(AND(E1148="",F1148=""),"",N(E1148)-N(F1148))</f>
        <v/>
      </c>
      <c r="N1148" s="28" t="n"/>
    </row>
    <row r="1149">
      <c r="A1149" s="27" t="n"/>
      <c r="B1149" s="28" t="n"/>
      <c r="C1149" s="28" t="n"/>
      <c r="D1149" s="28" t="n"/>
      <c r="E1149" s="29" t="n"/>
      <c r="F1149" s="29" t="n"/>
      <c r="G1149" s="28" t="n"/>
      <c r="H1149" s="28" t="n"/>
      <c r="I1149" s="28" t="n"/>
      <c r="J1149" s="28" t="n"/>
      <c r="K1149" s="24">
        <f>IF(D1149="","",IFERROR(INDEX(Setup!$B$24:$B$59,MATCH(D1149,Setup!$A$24:$A$59,0)),"Check category"))</f>
        <v/>
      </c>
      <c r="L1149" s="25">
        <f>IF(A1149="","",DATE(YEAR(A1149),MONTH(A1149),1))</f>
        <v/>
      </c>
      <c r="M1149" s="26">
        <f>IF(AND(E1149="",F1149=""),"",N(E1149)-N(F1149))</f>
        <v/>
      </c>
      <c r="N1149" s="28" t="n"/>
    </row>
    <row r="1150">
      <c r="A1150" s="27" t="n"/>
      <c r="B1150" s="28" t="n"/>
      <c r="C1150" s="28" t="n"/>
      <c r="D1150" s="28" t="n"/>
      <c r="E1150" s="29" t="n"/>
      <c r="F1150" s="29" t="n"/>
      <c r="G1150" s="28" t="n"/>
      <c r="H1150" s="28" t="n"/>
      <c r="I1150" s="28" t="n"/>
      <c r="J1150" s="28" t="n"/>
      <c r="K1150" s="24">
        <f>IF(D1150="","",IFERROR(INDEX(Setup!$B$24:$B$59,MATCH(D1150,Setup!$A$24:$A$59,0)),"Check category"))</f>
        <v/>
      </c>
      <c r="L1150" s="25">
        <f>IF(A1150="","",DATE(YEAR(A1150),MONTH(A1150),1))</f>
        <v/>
      </c>
      <c r="M1150" s="26">
        <f>IF(AND(E1150="",F1150=""),"",N(E1150)-N(F1150))</f>
        <v/>
      </c>
      <c r="N1150" s="28" t="n"/>
    </row>
    <row r="1151">
      <c r="A1151" s="27" t="n"/>
      <c r="B1151" s="28" t="n"/>
      <c r="C1151" s="28" t="n"/>
      <c r="D1151" s="28" t="n"/>
      <c r="E1151" s="29" t="n"/>
      <c r="F1151" s="29" t="n"/>
      <c r="G1151" s="28" t="n"/>
      <c r="H1151" s="28" t="n"/>
      <c r="I1151" s="28" t="n"/>
      <c r="J1151" s="28" t="n"/>
      <c r="K1151" s="24">
        <f>IF(D1151="","",IFERROR(INDEX(Setup!$B$24:$B$59,MATCH(D1151,Setup!$A$24:$A$59,0)),"Check category"))</f>
        <v/>
      </c>
      <c r="L1151" s="25">
        <f>IF(A1151="","",DATE(YEAR(A1151),MONTH(A1151),1))</f>
        <v/>
      </c>
      <c r="M1151" s="26">
        <f>IF(AND(E1151="",F1151=""),"",N(E1151)-N(F1151))</f>
        <v/>
      </c>
      <c r="N1151" s="28" t="n"/>
    </row>
    <row r="1152">
      <c r="A1152" s="27" t="n"/>
      <c r="B1152" s="28" t="n"/>
      <c r="C1152" s="28" t="n"/>
      <c r="D1152" s="28" t="n"/>
      <c r="E1152" s="29" t="n"/>
      <c r="F1152" s="29" t="n"/>
      <c r="G1152" s="28" t="n"/>
      <c r="H1152" s="28" t="n"/>
      <c r="I1152" s="28" t="n"/>
      <c r="J1152" s="28" t="n"/>
      <c r="K1152" s="24">
        <f>IF(D1152="","",IFERROR(INDEX(Setup!$B$24:$B$59,MATCH(D1152,Setup!$A$24:$A$59,0)),"Check category"))</f>
        <v/>
      </c>
      <c r="L1152" s="25">
        <f>IF(A1152="","",DATE(YEAR(A1152),MONTH(A1152),1))</f>
        <v/>
      </c>
      <c r="M1152" s="26">
        <f>IF(AND(E1152="",F1152=""),"",N(E1152)-N(F1152))</f>
        <v/>
      </c>
      <c r="N1152" s="28" t="n"/>
    </row>
    <row r="1153">
      <c r="A1153" s="27" t="n"/>
      <c r="B1153" s="28" t="n"/>
      <c r="C1153" s="28" t="n"/>
      <c r="D1153" s="28" t="n"/>
      <c r="E1153" s="29" t="n"/>
      <c r="F1153" s="29" t="n"/>
      <c r="G1153" s="28" t="n"/>
      <c r="H1153" s="28" t="n"/>
      <c r="I1153" s="28" t="n"/>
      <c r="J1153" s="28" t="n"/>
      <c r="K1153" s="24">
        <f>IF(D1153="","",IFERROR(INDEX(Setup!$B$24:$B$59,MATCH(D1153,Setup!$A$24:$A$59,0)),"Check category"))</f>
        <v/>
      </c>
      <c r="L1153" s="25">
        <f>IF(A1153="","",DATE(YEAR(A1153),MONTH(A1153),1))</f>
        <v/>
      </c>
      <c r="M1153" s="26">
        <f>IF(AND(E1153="",F1153=""),"",N(E1153)-N(F1153))</f>
        <v/>
      </c>
      <c r="N1153" s="28" t="n"/>
    </row>
    <row r="1154">
      <c r="A1154" s="27" t="n"/>
      <c r="B1154" s="28" t="n"/>
      <c r="C1154" s="28" t="n"/>
      <c r="D1154" s="28" t="n"/>
      <c r="E1154" s="29" t="n"/>
      <c r="F1154" s="29" t="n"/>
      <c r="G1154" s="28" t="n"/>
      <c r="H1154" s="28" t="n"/>
      <c r="I1154" s="28" t="n"/>
      <c r="J1154" s="28" t="n"/>
      <c r="K1154" s="24">
        <f>IF(D1154="","",IFERROR(INDEX(Setup!$B$24:$B$59,MATCH(D1154,Setup!$A$24:$A$59,0)),"Check category"))</f>
        <v/>
      </c>
      <c r="L1154" s="25">
        <f>IF(A1154="","",DATE(YEAR(A1154),MONTH(A1154),1))</f>
        <v/>
      </c>
      <c r="M1154" s="26">
        <f>IF(AND(E1154="",F1154=""),"",N(E1154)-N(F1154))</f>
        <v/>
      </c>
      <c r="N1154" s="28" t="n"/>
    </row>
    <row r="1155">
      <c r="A1155" s="27" t="n"/>
      <c r="B1155" s="28" t="n"/>
      <c r="C1155" s="28" t="n"/>
      <c r="D1155" s="28" t="n"/>
      <c r="E1155" s="29" t="n"/>
      <c r="F1155" s="29" t="n"/>
      <c r="G1155" s="28" t="n"/>
      <c r="H1155" s="28" t="n"/>
      <c r="I1155" s="28" t="n"/>
      <c r="J1155" s="28" t="n"/>
      <c r="K1155" s="24">
        <f>IF(D1155="","",IFERROR(INDEX(Setup!$B$24:$B$59,MATCH(D1155,Setup!$A$24:$A$59,0)),"Check category"))</f>
        <v/>
      </c>
      <c r="L1155" s="25">
        <f>IF(A1155="","",DATE(YEAR(A1155),MONTH(A1155),1))</f>
        <v/>
      </c>
      <c r="M1155" s="26">
        <f>IF(AND(E1155="",F1155=""),"",N(E1155)-N(F1155))</f>
        <v/>
      </c>
      <c r="N1155" s="28" t="n"/>
    </row>
    <row r="1156">
      <c r="A1156" s="27" t="n"/>
      <c r="B1156" s="28" t="n"/>
      <c r="C1156" s="28" t="n"/>
      <c r="D1156" s="28" t="n"/>
      <c r="E1156" s="29" t="n"/>
      <c r="F1156" s="29" t="n"/>
      <c r="G1156" s="28" t="n"/>
      <c r="H1156" s="28" t="n"/>
      <c r="I1156" s="28" t="n"/>
      <c r="J1156" s="28" t="n"/>
      <c r="K1156" s="24">
        <f>IF(D1156="","",IFERROR(INDEX(Setup!$B$24:$B$59,MATCH(D1156,Setup!$A$24:$A$59,0)),"Check category"))</f>
        <v/>
      </c>
      <c r="L1156" s="25">
        <f>IF(A1156="","",DATE(YEAR(A1156),MONTH(A1156),1))</f>
        <v/>
      </c>
      <c r="M1156" s="26">
        <f>IF(AND(E1156="",F1156=""),"",N(E1156)-N(F1156))</f>
        <v/>
      </c>
      <c r="N1156" s="28" t="n"/>
    </row>
    <row r="1157">
      <c r="A1157" s="27" t="n"/>
      <c r="B1157" s="28" t="n"/>
      <c r="C1157" s="28" t="n"/>
      <c r="D1157" s="28" t="n"/>
      <c r="E1157" s="29" t="n"/>
      <c r="F1157" s="29" t="n"/>
      <c r="G1157" s="28" t="n"/>
      <c r="H1157" s="28" t="n"/>
      <c r="I1157" s="28" t="n"/>
      <c r="J1157" s="28" t="n"/>
      <c r="K1157" s="24">
        <f>IF(D1157="","",IFERROR(INDEX(Setup!$B$24:$B$59,MATCH(D1157,Setup!$A$24:$A$59,0)),"Check category"))</f>
        <v/>
      </c>
      <c r="L1157" s="25">
        <f>IF(A1157="","",DATE(YEAR(A1157),MONTH(A1157),1))</f>
        <v/>
      </c>
      <c r="M1157" s="26">
        <f>IF(AND(E1157="",F1157=""),"",N(E1157)-N(F1157))</f>
        <v/>
      </c>
      <c r="N1157" s="28" t="n"/>
    </row>
    <row r="1158">
      <c r="A1158" s="27" t="n"/>
      <c r="B1158" s="28" t="n"/>
      <c r="C1158" s="28" t="n"/>
      <c r="D1158" s="28" t="n"/>
      <c r="E1158" s="29" t="n"/>
      <c r="F1158" s="29" t="n"/>
      <c r="G1158" s="28" t="n"/>
      <c r="H1158" s="28" t="n"/>
      <c r="I1158" s="28" t="n"/>
      <c r="J1158" s="28" t="n"/>
      <c r="K1158" s="24">
        <f>IF(D1158="","",IFERROR(INDEX(Setup!$B$24:$B$59,MATCH(D1158,Setup!$A$24:$A$59,0)),"Check category"))</f>
        <v/>
      </c>
      <c r="L1158" s="25">
        <f>IF(A1158="","",DATE(YEAR(A1158),MONTH(A1158),1))</f>
        <v/>
      </c>
      <c r="M1158" s="26">
        <f>IF(AND(E1158="",F1158=""),"",N(E1158)-N(F1158))</f>
        <v/>
      </c>
      <c r="N1158" s="28" t="n"/>
    </row>
    <row r="1159">
      <c r="A1159" s="27" t="n"/>
      <c r="B1159" s="28" t="n"/>
      <c r="C1159" s="28" t="n"/>
      <c r="D1159" s="28" t="n"/>
      <c r="E1159" s="29" t="n"/>
      <c r="F1159" s="29" t="n"/>
      <c r="G1159" s="28" t="n"/>
      <c r="H1159" s="28" t="n"/>
      <c r="I1159" s="28" t="n"/>
      <c r="J1159" s="28" t="n"/>
      <c r="K1159" s="24">
        <f>IF(D1159="","",IFERROR(INDEX(Setup!$B$24:$B$59,MATCH(D1159,Setup!$A$24:$A$59,0)),"Check category"))</f>
        <v/>
      </c>
      <c r="L1159" s="25">
        <f>IF(A1159="","",DATE(YEAR(A1159),MONTH(A1159),1))</f>
        <v/>
      </c>
      <c r="M1159" s="26">
        <f>IF(AND(E1159="",F1159=""),"",N(E1159)-N(F1159))</f>
        <v/>
      </c>
      <c r="N1159" s="28" t="n"/>
    </row>
    <row r="1160">
      <c r="A1160" s="27" t="n"/>
      <c r="B1160" s="28" t="n"/>
      <c r="C1160" s="28" t="n"/>
      <c r="D1160" s="28" t="n"/>
      <c r="E1160" s="29" t="n"/>
      <c r="F1160" s="29" t="n"/>
      <c r="G1160" s="28" t="n"/>
      <c r="H1160" s="28" t="n"/>
      <c r="I1160" s="28" t="n"/>
      <c r="J1160" s="28" t="n"/>
      <c r="K1160" s="24">
        <f>IF(D1160="","",IFERROR(INDEX(Setup!$B$24:$B$59,MATCH(D1160,Setup!$A$24:$A$59,0)),"Check category"))</f>
        <v/>
      </c>
      <c r="L1160" s="25">
        <f>IF(A1160="","",DATE(YEAR(A1160),MONTH(A1160),1))</f>
        <v/>
      </c>
      <c r="M1160" s="26">
        <f>IF(AND(E1160="",F1160=""),"",N(E1160)-N(F1160))</f>
        <v/>
      </c>
      <c r="N1160" s="28" t="n"/>
    </row>
    <row r="1161">
      <c r="A1161" s="27" t="n"/>
      <c r="B1161" s="28" t="n"/>
      <c r="C1161" s="28" t="n"/>
      <c r="D1161" s="28" t="n"/>
      <c r="E1161" s="29" t="n"/>
      <c r="F1161" s="29" t="n"/>
      <c r="G1161" s="28" t="n"/>
      <c r="H1161" s="28" t="n"/>
      <c r="I1161" s="28" t="n"/>
      <c r="J1161" s="28" t="n"/>
      <c r="K1161" s="24">
        <f>IF(D1161="","",IFERROR(INDEX(Setup!$B$24:$B$59,MATCH(D1161,Setup!$A$24:$A$59,0)),"Check category"))</f>
        <v/>
      </c>
      <c r="L1161" s="25">
        <f>IF(A1161="","",DATE(YEAR(A1161),MONTH(A1161),1))</f>
        <v/>
      </c>
      <c r="M1161" s="26">
        <f>IF(AND(E1161="",F1161=""),"",N(E1161)-N(F1161))</f>
        <v/>
      </c>
      <c r="N1161" s="28" t="n"/>
    </row>
    <row r="1162">
      <c r="A1162" s="27" t="n"/>
      <c r="B1162" s="28" t="n"/>
      <c r="C1162" s="28" t="n"/>
      <c r="D1162" s="28" t="n"/>
      <c r="E1162" s="29" t="n"/>
      <c r="F1162" s="29" t="n"/>
      <c r="G1162" s="28" t="n"/>
      <c r="H1162" s="28" t="n"/>
      <c r="I1162" s="28" t="n"/>
      <c r="J1162" s="28" t="n"/>
      <c r="K1162" s="24">
        <f>IF(D1162="","",IFERROR(INDEX(Setup!$B$24:$B$59,MATCH(D1162,Setup!$A$24:$A$59,0)),"Check category"))</f>
        <v/>
      </c>
      <c r="L1162" s="25">
        <f>IF(A1162="","",DATE(YEAR(A1162),MONTH(A1162),1))</f>
        <v/>
      </c>
      <c r="M1162" s="26">
        <f>IF(AND(E1162="",F1162=""),"",N(E1162)-N(F1162))</f>
        <v/>
      </c>
      <c r="N1162" s="28" t="n"/>
    </row>
    <row r="1163">
      <c r="A1163" s="27" t="n"/>
      <c r="B1163" s="28" t="n"/>
      <c r="C1163" s="28" t="n"/>
      <c r="D1163" s="28" t="n"/>
      <c r="E1163" s="29" t="n"/>
      <c r="F1163" s="29" t="n"/>
      <c r="G1163" s="28" t="n"/>
      <c r="H1163" s="28" t="n"/>
      <c r="I1163" s="28" t="n"/>
      <c r="J1163" s="28" t="n"/>
      <c r="K1163" s="24">
        <f>IF(D1163="","",IFERROR(INDEX(Setup!$B$24:$B$59,MATCH(D1163,Setup!$A$24:$A$59,0)),"Check category"))</f>
        <v/>
      </c>
      <c r="L1163" s="25">
        <f>IF(A1163="","",DATE(YEAR(A1163),MONTH(A1163),1))</f>
        <v/>
      </c>
      <c r="M1163" s="26">
        <f>IF(AND(E1163="",F1163=""),"",N(E1163)-N(F1163))</f>
        <v/>
      </c>
      <c r="N1163" s="28" t="n"/>
    </row>
    <row r="1164">
      <c r="A1164" s="27" t="n"/>
      <c r="B1164" s="28" t="n"/>
      <c r="C1164" s="28" t="n"/>
      <c r="D1164" s="28" t="n"/>
      <c r="E1164" s="29" t="n"/>
      <c r="F1164" s="29" t="n"/>
      <c r="G1164" s="28" t="n"/>
      <c r="H1164" s="28" t="n"/>
      <c r="I1164" s="28" t="n"/>
      <c r="J1164" s="28" t="n"/>
      <c r="K1164" s="24">
        <f>IF(D1164="","",IFERROR(INDEX(Setup!$B$24:$B$59,MATCH(D1164,Setup!$A$24:$A$59,0)),"Check category"))</f>
        <v/>
      </c>
      <c r="L1164" s="25">
        <f>IF(A1164="","",DATE(YEAR(A1164),MONTH(A1164),1))</f>
        <v/>
      </c>
      <c r="M1164" s="26">
        <f>IF(AND(E1164="",F1164=""),"",N(E1164)-N(F1164))</f>
        <v/>
      </c>
      <c r="N1164" s="28" t="n"/>
    </row>
    <row r="1165">
      <c r="A1165" s="27" t="n"/>
      <c r="B1165" s="28" t="n"/>
      <c r="C1165" s="28" t="n"/>
      <c r="D1165" s="28" t="n"/>
      <c r="E1165" s="29" t="n"/>
      <c r="F1165" s="29" t="n"/>
      <c r="G1165" s="28" t="n"/>
      <c r="H1165" s="28" t="n"/>
      <c r="I1165" s="28" t="n"/>
      <c r="J1165" s="28" t="n"/>
      <c r="K1165" s="24">
        <f>IF(D1165="","",IFERROR(INDEX(Setup!$B$24:$B$59,MATCH(D1165,Setup!$A$24:$A$59,0)),"Check category"))</f>
        <v/>
      </c>
      <c r="L1165" s="25">
        <f>IF(A1165="","",DATE(YEAR(A1165),MONTH(A1165),1))</f>
        <v/>
      </c>
      <c r="M1165" s="26">
        <f>IF(AND(E1165="",F1165=""),"",N(E1165)-N(F1165))</f>
        <v/>
      </c>
      <c r="N1165" s="28" t="n"/>
    </row>
    <row r="1166">
      <c r="A1166" s="27" t="n"/>
      <c r="B1166" s="28" t="n"/>
      <c r="C1166" s="28" t="n"/>
      <c r="D1166" s="28" t="n"/>
      <c r="E1166" s="29" t="n"/>
      <c r="F1166" s="29" t="n"/>
      <c r="G1166" s="28" t="n"/>
      <c r="H1166" s="28" t="n"/>
      <c r="I1166" s="28" t="n"/>
      <c r="J1166" s="28" t="n"/>
      <c r="K1166" s="24">
        <f>IF(D1166="","",IFERROR(INDEX(Setup!$B$24:$B$59,MATCH(D1166,Setup!$A$24:$A$59,0)),"Check category"))</f>
        <v/>
      </c>
      <c r="L1166" s="25">
        <f>IF(A1166="","",DATE(YEAR(A1166),MONTH(A1166),1))</f>
        <v/>
      </c>
      <c r="M1166" s="26">
        <f>IF(AND(E1166="",F1166=""),"",N(E1166)-N(F1166))</f>
        <v/>
      </c>
      <c r="N1166" s="28" t="n"/>
    </row>
    <row r="1167">
      <c r="A1167" s="27" t="n"/>
      <c r="B1167" s="28" t="n"/>
      <c r="C1167" s="28" t="n"/>
      <c r="D1167" s="28" t="n"/>
      <c r="E1167" s="29" t="n"/>
      <c r="F1167" s="29" t="n"/>
      <c r="G1167" s="28" t="n"/>
      <c r="H1167" s="28" t="n"/>
      <c r="I1167" s="28" t="n"/>
      <c r="J1167" s="28" t="n"/>
      <c r="K1167" s="24">
        <f>IF(D1167="","",IFERROR(INDEX(Setup!$B$24:$B$59,MATCH(D1167,Setup!$A$24:$A$59,0)),"Check category"))</f>
        <v/>
      </c>
      <c r="L1167" s="25">
        <f>IF(A1167="","",DATE(YEAR(A1167),MONTH(A1167),1))</f>
        <v/>
      </c>
      <c r="M1167" s="26">
        <f>IF(AND(E1167="",F1167=""),"",N(E1167)-N(F1167))</f>
        <v/>
      </c>
      <c r="N1167" s="28" t="n"/>
    </row>
    <row r="1168">
      <c r="A1168" s="27" t="n"/>
      <c r="B1168" s="28" t="n"/>
      <c r="C1168" s="28" t="n"/>
      <c r="D1168" s="28" t="n"/>
      <c r="E1168" s="29" t="n"/>
      <c r="F1168" s="29" t="n"/>
      <c r="G1168" s="28" t="n"/>
      <c r="H1168" s="28" t="n"/>
      <c r="I1168" s="28" t="n"/>
      <c r="J1168" s="28" t="n"/>
      <c r="K1168" s="24">
        <f>IF(D1168="","",IFERROR(INDEX(Setup!$B$24:$B$59,MATCH(D1168,Setup!$A$24:$A$59,0)),"Check category"))</f>
        <v/>
      </c>
      <c r="L1168" s="25">
        <f>IF(A1168="","",DATE(YEAR(A1168),MONTH(A1168),1))</f>
        <v/>
      </c>
      <c r="M1168" s="26">
        <f>IF(AND(E1168="",F1168=""),"",N(E1168)-N(F1168))</f>
        <v/>
      </c>
      <c r="N1168" s="28" t="n"/>
    </row>
    <row r="1169">
      <c r="A1169" s="27" t="n"/>
      <c r="B1169" s="28" t="n"/>
      <c r="C1169" s="28" t="n"/>
      <c r="D1169" s="28" t="n"/>
      <c r="E1169" s="29" t="n"/>
      <c r="F1169" s="29" t="n"/>
      <c r="G1169" s="28" t="n"/>
      <c r="H1169" s="28" t="n"/>
      <c r="I1169" s="28" t="n"/>
      <c r="J1169" s="28" t="n"/>
      <c r="K1169" s="24">
        <f>IF(D1169="","",IFERROR(INDEX(Setup!$B$24:$B$59,MATCH(D1169,Setup!$A$24:$A$59,0)),"Check category"))</f>
        <v/>
      </c>
      <c r="L1169" s="25">
        <f>IF(A1169="","",DATE(YEAR(A1169),MONTH(A1169),1))</f>
        <v/>
      </c>
      <c r="M1169" s="26">
        <f>IF(AND(E1169="",F1169=""),"",N(E1169)-N(F1169))</f>
        <v/>
      </c>
      <c r="N1169" s="28" t="n"/>
    </row>
    <row r="1170">
      <c r="A1170" s="27" t="n"/>
      <c r="B1170" s="28" t="n"/>
      <c r="C1170" s="28" t="n"/>
      <c r="D1170" s="28" t="n"/>
      <c r="E1170" s="29" t="n"/>
      <c r="F1170" s="29" t="n"/>
      <c r="G1170" s="28" t="n"/>
      <c r="H1170" s="28" t="n"/>
      <c r="I1170" s="28" t="n"/>
      <c r="J1170" s="28" t="n"/>
      <c r="K1170" s="24">
        <f>IF(D1170="","",IFERROR(INDEX(Setup!$B$24:$B$59,MATCH(D1170,Setup!$A$24:$A$59,0)),"Check category"))</f>
        <v/>
      </c>
      <c r="L1170" s="25">
        <f>IF(A1170="","",DATE(YEAR(A1170),MONTH(A1170),1))</f>
        <v/>
      </c>
      <c r="M1170" s="26">
        <f>IF(AND(E1170="",F1170=""),"",N(E1170)-N(F1170))</f>
        <v/>
      </c>
      <c r="N1170" s="28" t="n"/>
    </row>
    <row r="1171">
      <c r="A1171" s="27" t="n"/>
      <c r="B1171" s="28" t="n"/>
      <c r="C1171" s="28" t="n"/>
      <c r="D1171" s="28" t="n"/>
      <c r="E1171" s="29" t="n"/>
      <c r="F1171" s="29" t="n"/>
      <c r="G1171" s="28" t="n"/>
      <c r="H1171" s="28" t="n"/>
      <c r="I1171" s="28" t="n"/>
      <c r="J1171" s="28" t="n"/>
      <c r="K1171" s="24">
        <f>IF(D1171="","",IFERROR(INDEX(Setup!$B$24:$B$59,MATCH(D1171,Setup!$A$24:$A$59,0)),"Check category"))</f>
        <v/>
      </c>
      <c r="L1171" s="25">
        <f>IF(A1171="","",DATE(YEAR(A1171),MONTH(A1171),1))</f>
        <v/>
      </c>
      <c r="M1171" s="26">
        <f>IF(AND(E1171="",F1171=""),"",N(E1171)-N(F1171))</f>
        <v/>
      </c>
      <c r="N1171" s="28" t="n"/>
    </row>
    <row r="1172">
      <c r="A1172" s="27" t="n"/>
      <c r="B1172" s="28" t="n"/>
      <c r="C1172" s="28" t="n"/>
      <c r="D1172" s="28" t="n"/>
      <c r="E1172" s="29" t="n"/>
      <c r="F1172" s="29" t="n"/>
      <c r="G1172" s="28" t="n"/>
      <c r="H1172" s="28" t="n"/>
      <c r="I1172" s="28" t="n"/>
      <c r="J1172" s="28" t="n"/>
      <c r="K1172" s="24">
        <f>IF(D1172="","",IFERROR(INDEX(Setup!$B$24:$B$59,MATCH(D1172,Setup!$A$24:$A$59,0)),"Check category"))</f>
        <v/>
      </c>
      <c r="L1172" s="25">
        <f>IF(A1172="","",DATE(YEAR(A1172),MONTH(A1172),1))</f>
        <v/>
      </c>
      <c r="M1172" s="26">
        <f>IF(AND(E1172="",F1172=""),"",N(E1172)-N(F1172))</f>
        <v/>
      </c>
      <c r="N1172" s="28" t="n"/>
    </row>
    <row r="1173">
      <c r="A1173" s="27" t="n"/>
      <c r="B1173" s="28" t="n"/>
      <c r="C1173" s="28" t="n"/>
      <c r="D1173" s="28" t="n"/>
      <c r="E1173" s="29" t="n"/>
      <c r="F1173" s="29" t="n"/>
      <c r="G1173" s="28" t="n"/>
      <c r="H1173" s="28" t="n"/>
      <c r="I1173" s="28" t="n"/>
      <c r="J1173" s="28" t="n"/>
      <c r="K1173" s="24">
        <f>IF(D1173="","",IFERROR(INDEX(Setup!$B$24:$B$59,MATCH(D1173,Setup!$A$24:$A$59,0)),"Check category"))</f>
        <v/>
      </c>
      <c r="L1173" s="25">
        <f>IF(A1173="","",DATE(YEAR(A1173),MONTH(A1173),1))</f>
        <v/>
      </c>
      <c r="M1173" s="26">
        <f>IF(AND(E1173="",F1173=""),"",N(E1173)-N(F1173))</f>
        <v/>
      </c>
      <c r="N1173" s="28" t="n"/>
    </row>
    <row r="1174">
      <c r="A1174" s="27" t="n"/>
      <c r="B1174" s="28" t="n"/>
      <c r="C1174" s="28" t="n"/>
      <c r="D1174" s="28" t="n"/>
      <c r="E1174" s="29" t="n"/>
      <c r="F1174" s="29" t="n"/>
      <c r="G1174" s="28" t="n"/>
      <c r="H1174" s="28" t="n"/>
      <c r="I1174" s="28" t="n"/>
      <c r="J1174" s="28" t="n"/>
      <c r="K1174" s="24">
        <f>IF(D1174="","",IFERROR(INDEX(Setup!$B$24:$B$59,MATCH(D1174,Setup!$A$24:$A$59,0)),"Check category"))</f>
        <v/>
      </c>
      <c r="L1174" s="25">
        <f>IF(A1174="","",DATE(YEAR(A1174),MONTH(A1174),1))</f>
        <v/>
      </c>
      <c r="M1174" s="26">
        <f>IF(AND(E1174="",F1174=""),"",N(E1174)-N(F1174))</f>
        <v/>
      </c>
      <c r="N1174" s="28" t="n"/>
    </row>
    <row r="1175">
      <c r="A1175" s="27" t="n"/>
      <c r="B1175" s="28" t="n"/>
      <c r="C1175" s="28" t="n"/>
      <c r="D1175" s="28" t="n"/>
      <c r="E1175" s="29" t="n"/>
      <c r="F1175" s="29" t="n"/>
      <c r="G1175" s="28" t="n"/>
      <c r="H1175" s="28" t="n"/>
      <c r="I1175" s="28" t="n"/>
      <c r="J1175" s="28" t="n"/>
      <c r="K1175" s="24">
        <f>IF(D1175="","",IFERROR(INDEX(Setup!$B$24:$B$59,MATCH(D1175,Setup!$A$24:$A$59,0)),"Check category"))</f>
        <v/>
      </c>
      <c r="L1175" s="25">
        <f>IF(A1175="","",DATE(YEAR(A1175),MONTH(A1175),1))</f>
        <v/>
      </c>
      <c r="M1175" s="26">
        <f>IF(AND(E1175="",F1175=""),"",N(E1175)-N(F1175))</f>
        <v/>
      </c>
      <c r="N1175" s="28" t="n"/>
    </row>
    <row r="1176">
      <c r="A1176" s="27" t="n"/>
      <c r="B1176" s="28" t="n"/>
      <c r="C1176" s="28" t="n"/>
      <c r="D1176" s="28" t="n"/>
      <c r="E1176" s="29" t="n"/>
      <c r="F1176" s="29" t="n"/>
      <c r="G1176" s="28" t="n"/>
      <c r="H1176" s="28" t="n"/>
      <c r="I1176" s="28" t="n"/>
      <c r="J1176" s="28" t="n"/>
      <c r="K1176" s="24">
        <f>IF(D1176="","",IFERROR(INDEX(Setup!$B$24:$B$59,MATCH(D1176,Setup!$A$24:$A$59,0)),"Check category"))</f>
        <v/>
      </c>
      <c r="L1176" s="25">
        <f>IF(A1176="","",DATE(YEAR(A1176),MONTH(A1176),1))</f>
        <v/>
      </c>
      <c r="M1176" s="26">
        <f>IF(AND(E1176="",F1176=""),"",N(E1176)-N(F1176))</f>
        <v/>
      </c>
      <c r="N1176" s="28" t="n"/>
    </row>
    <row r="1177">
      <c r="A1177" s="27" t="n"/>
      <c r="B1177" s="28" t="n"/>
      <c r="C1177" s="28" t="n"/>
      <c r="D1177" s="28" t="n"/>
      <c r="E1177" s="29" t="n"/>
      <c r="F1177" s="29" t="n"/>
      <c r="G1177" s="28" t="n"/>
      <c r="H1177" s="28" t="n"/>
      <c r="I1177" s="28" t="n"/>
      <c r="J1177" s="28" t="n"/>
      <c r="K1177" s="24">
        <f>IF(D1177="","",IFERROR(INDEX(Setup!$B$24:$B$59,MATCH(D1177,Setup!$A$24:$A$59,0)),"Check category"))</f>
        <v/>
      </c>
      <c r="L1177" s="25">
        <f>IF(A1177="","",DATE(YEAR(A1177),MONTH(A1177),1))</f>
        <v/>
      </c>
      <c r="M1177" s="26">
        <f>IF(AND(E1177="",F1177=""),"",N(E1177)-N(F1177))</f>
        <v/>
      </c>
      <c r="N1177" s="28" t="n"/>
    </row>
    <row r="1178">
      <c r="A1178" s="27" t="n"/>
      <c r="B1178" s="28" t="n"/>
      <c r="C1178" s="28" t="n"/>
      <c r="D1178" s="28" t="n"/>
      <c r="E1178" s="29" t="n"/>
      <c r="F1178" s="29" t="n"/>
      <c r="G1178" s="28" t="n"/>
      <c r="H1178" s="28" t="n"/>
      <c r="I1178" s="28" t="n"/>
      <c r="J1178" s="28" t="n"/>
      <c r="K1178" s="24">
        <f>IF(D1178="","",IFERROR(INDEX(Setup!$B$24:$B$59,MATCH(D1178,Setup!$A$24:$A$59,0)),"Check category"))</f>
        <v/>
      </c>
      <c r="L1178" s="25">
        <f>IF(A1178="","",DATE(YEAR(A1178),MONTH(A1178),1))</f>
        <v/>
      </c>
      <c r="M1178" s="26">
        <f>IF(AND(E1178="",F1178=""),"",N(E1178)-N(F1178))</f>
        <v/>
      </c>
      <c r="N1178" s="28" t="n"/>
    </row>
    <row r="1179">
      <c r="A1179" s="27" t="n"/>
      <c r="B1179" s="28" t="n"/>
      <c r="C1179" s="28" t="n"/>
      <c r="D1179" s="28" t="n"/>
      <c r="E1179" s="29" t="n"/>
      <c r="F1179" s="29" t="n"/>
      <c r="G1179" s="28" t="n"/>
      <c r="H1179" s="28" t="n"/>
      <c r="I1179" s="28" t="n"/>
      <c r="J1179" s="28" t="n"/>
      <c r="K1179" s="24">
        <f>IF(D1179="","",IFERROR(INDEX(Setup!$B$24:$B$59,MATCH(D1179,Setup!$A$24:$A$59,0)),"Check category"))</f>
        <v/>
      </c>
      <c r="L1179" s="25">
        <f>IF(A1179="","",DATE(YEAR(A1179),MONTH(A1179),1))</f>
        <v/>
      </c>
      <c r="M1179" s="26">
        <f>IF(AND(E1179="",F1179=""),"",N(E1179)-N(F1179))</f>
        <v/>
      </c>
      <c r="N1179" s="28" t="n"/>
    </row>
    <row r="1180">
      <c r="A1180" s="27" t="n"/>
      <c r="B1180" s="28" t="n"/>
      <c r="C1180" s="28" t="n"/>
      <c r="D1180" s="28" t="n"/>
      <c r="E1180" s="29" t="n"/>
      <c r="F1180" s="29" t="n"/>
      <c r="G1180" s="28" t="n"/>
      <c r="H1180" s="28" t="n"/>
      <c r="I1180" s="28" t="n"/>
      <c r="J1180" s="28" t="n"/>
      <c r="K1180" s="24">
        <f>IF(D1180="","",IFERROR(INDEX(Setup!$B$24:$B$59,MATCH(D1180,Setup!$A$24:$A$59,0)),"Check category"))</f>
        <v/>
      </c>
      <c r="L1180" s="25">
        <f>IF(A1180="","",DATE(YEAR(A1180),MONTH(A1180),1))</f>
        <v/>
      </c>
      <c r="M1180" s="26">
        <f>IF(AND(E1180="",F1180=""),"",N(E1180)-N(F1180))</f>
        <v/>
      </c>
      <c r="N1180" s="28" t="n"/>
    </row>
    <row r="1181">
      <c r="A1181" s="27" t="n"/>
      <c r="B1181" s="28" t="n"/>
      <c r="C1181" s="28" t="n"/>
      <c r="D1181" s="28" t="n"/>
      <c r="E1181" s="29" t="n"/>
      <c r="F1181" s="29" t="n"/>
      <c r="G1181" s="28" t="n"/>
      <c r="H1181" s="28" t="n"/>
      <c r="I1181" s="28" t="n"/>
      <c r="J1181" s="28" t="n"/>
      <c r="K1181" s="24">
        <f>IF(D1181="","",IFERROR(INDEX(Setup!$B$24:$B$59,MATCH(D1181,Setup!$A$24:$A$59,0)),"Check category"))</f>
        <v/>
      </c>
      <c r="L1181" s="25">
        <f>IF(A1181="","",DATE(YEAR(A1181),MONTH(A1181),1))</f>
        <v/>
      </c>
      <c r="M1181" s="26">
        <f>IF(AND(E1181="",F1181=""),"",N(E1181)-N(F1181))</f>
        <v/>
      </c>
      <c r="N1181" s="28" t="n"/>
    </row>
    <row r="1182">
      <c r="A1182" s="27" t="n"/>
      <c r="B1182" s="28" t="n"/>
      <c r="C1182" s="28" t="n"/>
      <c r="D1182" s="28" t="n"/>
      <c r="E1182" s="29" t="n"/>
      <c r="F1182" s="29" t="n"/>
      <c r="G1182" s="28" t="n"/>
      <c r="H1182" s="28" t="n"/>
      <c r="I1182" s="28" t="n"/>
      <c r="J1182" s="28" t="n"/>
      <c r="K1182" s="24">
        <f>IF(D1182="","",IFERROR(INDEX(Setup!$B$24:$B$59,MATCH(D1182,Setup!$A$24:$A$59,0)),"Check category"))</f>
        <v/>
      </c>
      <c r="L1182" s="25">
        <f>IF(A1182="","",DATE(YEAR(A1182),MONTH(A1182),1))</f>
        <v/>
      </c>
      <c r="M1182" s="26">
        <f>IF(AND(E1182="",F1182=""),"",N(E1182)-N(F1182))</f>
        <v/>
      </c>
      <c r="N1182" s="28" t="n"/>
    </row>
    <row r="1183">
      <c r="A1183" s="27" t="n"/>
      <c r="B1183" s="28" t="n"/>
      <c r="C1183" s="28" t="n"/>
      <c r="D1183" s="28" t="n"/>
      <c r="E1183" s="29" t="n"/>
      <c r="F1183" s="29" t="n"/>
      <c r="G1183" s="28" t="n"/>
      <c r="H1183" s="28" t="n"/>
      <c r="I1183" s="28" t="n"/>
      <c r="J1183" s="28" t="n"/>
      <c r="K1183" s="24">
        <f>IF(D1183="","",IFERROR(INDEX(Setup!$B$24:$B$59,MATCH(D1183,Setup!$A$24:$A$59,0)),"Check category"))</f>
        <v/>
      </c>
      <c r="L1183" s="25">
        <f>IF(A1183="","",DATE(YEAR(A1183),MONTH(A1183),1))</f>
        <v/>
      </c>
      <c r="M1183" s="26">
        <f>IF(AND(E1183="",F1183=""),"",N(E1183)-N(F1183))</f>
        <v/>
      </c>
      <c r="N1183" s="28" t="n"/>
    </row>
    <row r="1184">
      <c r="A1184" s="27" t="n"/>
      <c r="B1184" s="28" t="n"/>
      <c r="C1184" s="28" t="n"/>
      <c r="D1184" s="28" t="n"/>
      <c r="E1184" s="29" t="n"/>
      <c r="F1184" s="29" t="n"/>
      <c r="G1184" s="28" t="n"/>
      <c r="H1184" s="28" t="n"/>
      <c r="I1184" s="28" t="n"/>
      <c r="J1184" s="28" t="n"/>
      <c r="K1184" s="24">
        <f>IF(D1184="","",IFERROR(INDEX(Setup!$B$24:$B$59,MATCH(D1184,Setup!$A$24:$A$59,0)),"Check category"))</f>
        <v/>
      </c>
      <c r="L1184" s="25">
        <f>IF(A1184="","",DATE(YEAR(A1184),MONTH(A1184),1))</f>
        <v/>
      </c>
      <c r="M1184" s="26">
        <f>IF(AND(E1184="",F1184=""),"",N(E1184)-N(F1184))</f>
        <v/>
      </c>
      <c r="N1184" s="28" t="n"/>
    </row>
    <row r="1185">
      <c r="A1185" s="27" t="n"/>
      <c r="B1185" s="28" t="n"/>
      <c r="C1185" s="28" t="n"/>
      <c r="D1185" s="28" t="n"/>
      <c r="E1185" s="29" t="n"/>
      <c r="F1185" s="29" t="n"/>
      <c r="G1185" s="28" t="n"/>
      <c r="H1185" s="28" t="n"/>
      <c r="I1185" s="28" t="n"/>
      <c r="J1185" s="28" t="n"/>
      <c r="K1185" s="24">
        <f>IF(D1185="","",IFERROR(INDEX(Setup!$B$24:$B$59,MATCH(D1185,Setup!$A$24:$A$59,0)),"Check category"))</f>
        <v/>
      </c>
      <c r="L1185" s="25">
        <f>IF(A1185="","",DATE(YEAR(A1185),MONTH(A1185),1))</f>
        <v/>
      </c>
      <c r="M1185" s="26">
        <f>IF(AND(E1185="",F1185=""),"",N(E1185)-N(F1185))</f>
        <v/>
      </c>
      <c r="N1185" s="28" t="n"/>
    </row>
    <row r="1186">
      <c r="A1186" s="27" t="n"/>
      <c r="B1186" s="28" t="n"/>
      <c r="C1186" s="28" t="n"/>
      <c r="D1186" s="28" t="n"/>
      <c r="E1186" s="29" t="n"/>
      <c r="F1186" s="29" t="n"/>
      <c r="G1186" s="28" t="n"/>
      <c r="H1186" s="28" t="n"/>
      <c r="I1186" s="28" t="n"/>
      <c r="J1186" s="28" t="n"/>
      <c r="K1186" s="24">
        <f>IF(D1186="","",IFERROR(INDEX(Setup!$B$24:$B$59,MATCH(D1186,Setup!$A$24:$A$59,0)),"Check category"))</f>
        <v/>
      </c>
      <c r="L1186" s="25">
        <f>IF(A1186="","",DATE(YEAR(A1186),MONTH(A1186),1))</f>
        <v/>
      </c>
      <c r="M1186" s="26">
        <f>IF(AND(E1186="",F1186=""),"",N(E1186)-N(F1186))</f>
        <v/>
      </c>
      <c r="N1186" s="28" t="n"/>
    </row>
    <row r="1187">
      <c r="A1187" s="27" t="n"/>
      <c r="B1187" s="28" t="n"/>
      <c r="C1187" s="28" t="n"/>
      <c r="D1187" s="28" t="n"/>
      <c r="E1187" s="29" t="n"/>
      <c r="F1187" s="29" t="n"/>
      <c r="G1187" s="28" t="n"/>
      <c r="H1187" s="28" t="n"/>
      <c r="I1187" s="28" t="n"/>
      <c r="J1187" s="28" t="n"/>
      <c r="K1187" s="24">
        <f>IF(D1187="","",IFERROR(INDEX(Setup!$B$24:$B$59,MATCH(D1187,Setup!$A$24:$A$59,0)),"Check category"))</f>
        <v/>
      </c>
      <c r="L1187" s="25">
        <f>IF(A1187="","",DATE(YEAR(A1187),MONTH(A1187),1))</f>
        <v/>
      </c>
      <c r="M1187" s="26">
        <f>IF(AND(E1187="",F1187=""),"",N(E1187)-N(F1187))</f>
        <v/>
      </c>
      <c r="N1187" s="28" t="n"/>
    </row>
    <row r="1188">
      <c r="A1188" s="27" t="n"/>
      <c r="B1188" s="28" t="n"/>
      <c r="C1188" s="28" t="n"/>
      <c r="D1188" s="28" t="n"/>
      <c r="E1188" s="29" t="n"/>
      <c r="F1188" s="29" t="n"/>
      <c r="G1188" s="28" t="n"/>
      <c r="H1188" s="28" t="n"/>
      <c r="I1188" s="28" t="n"/>
      <c r="J1188" s="28" t="n"/>
      <c r="K1188" s="24">
        <f>IF(D1188="","",IFERROR(INDEX(Setup!$B$24:$B$59,MATCH(D1188,Setup!$A$24:$A$59,0)),"Check category"))</f>
        <v/>
      </c>
      <c r="L1188" s="25">
        <f>IF(A1188="","",DATE(YEAR(A1188),MONTH(A1188),1))</f>
        <v/>
      </c>
      <c r="M1188" s="26">
        <f>IF(AND(E1188="",F1188=""),"",N(E1188)-N(F1188))</f>
        <v/>
      </c>
      <c r="N1188" s="28" t="n"/>
    </row>
    <row r="1189">
      <c r="A1189" s="27" t="n"/>
      <c r="B1189" s="28" t="n"/>
      <c r="C1189" s="28" t="n"/>
      <c r="D1189" s="28" t="n"/>
      <c r="E1189" s="29" t="n"/>
      <c r="F1189" s="29" t="n"/>
      <c r="G1189" s="28" t="n"/>
      <c r="H1189" s="28" t="n"/>
      <c r="I1189" s="28" t="n"/>
      <c r="J1189" s="28" t="n"/>
      <c r="K1189" s="24">
        <f>IF(D1189="","",IFERROR(INDEX(Setup!$B$24:$B$59,MATCH(D1189,Setup!$A$24:$A$59,0)),"Check category"))</f>
        <v/>
      </c>
      <c r="L1189" s="25">
        <f>IF(A1189="","",DATE(YEAR(A1189),MONTH(A1189),1))</f>
        <v/>
      </c>
      <c r="M1189" s="26">
        <f>IF(AND(E1189="",F1189=""),"",N(E1189)-N(F1189))</f>
        <v/>
      </c>
      <c r="N1189" s="28" t="n"/>
    </row>
    <row r="1190">
      <c r="A1190" s="27" t="n"/>
      <c r="B1190" s="28" t="n"/>
      <c r="C1190" s="28" t="n"/>
      <c r="D1190" s="28" t="n"/>
      <c r="E1190" s="29" t="n"/>
      <c r="F1190" s="29" t="n"/>
      <c r="G1190" s="28" t="n"/>
      <c r="H1190" s="28" t="n"/>
      <c r="I1190" s="28" t="n"/>
      <c r="J1190" s="28" t="n"/>
      <c r="K1190" s="24">
        <f>IF(D1190="","",IFERROR(INDEX(Setup!$B$24:$B$59,MATCH(D1190,Setup!$A$24:$A$59,0)),"Check category"))</f>
        <v/>
      </c>
      <c r="L1190" s="25">
        <f>IF(A1190="","",DATE(YEAR(A1190),MONTH(A1190),1))</f>
        <v/>
      </c>
      <c r="M1190" s="26">
        <f>IF(AND(E1190="",F1190=""),"",N(E1190)-N(F1190))</f>
        <v/>
      </c>
      <c r="N1190" s="28" t="n"/>
    </row>
    <row r="1191">
      <c r="A1191" s="27" t="n"/>
      <c r="B1191" s="28" t="n"/>
      <c r="C1191" s="28" t="n"/>
      <c r="D1191" s="28" t="n"/>
      <c r="E1191" s="29" t="n"/>
      <c r="F1191" s="29" t="n"/>
      <c r="G1191" s="28" t="n"/>
      <c r="H1191" s="28" t="n"/>
      <c r="I1191" s="28" t="n"/>
      <c r="J1191" s="28" t="n"/>
      <c r="K1191" s="24">
        <f>IF(D1191="","",IFERROR(INDEX(Setup!$B$24:$B$59,MATCH(D1191,Setup!$A$24:$A$59,0)),"Check category"))</f>
        <v/>
      </c>
      <c r="L1191" s="25">
        <f>IF(A1191="","",DATE(YEAR(A1191),MONTH(A1191),1))</f>
        <v/>
      </c>
      <c r="M1191" s="26">
        <f>IF(AND(E1191="",F1191=""),"",N(E1191)-N(F1191))</f>
        <v/>
      </c>
      <c r="N1191" s="28" t="n"/>
    </row>
    <row r="1192">
      <c r="A1192" s="27" t="n"/>
      <c r="B1192" s="28" t="n"/>
      <c r="C1192" s="28" t="n"/>
      <c r="D1192" s="28" t="n"/>
      <c r="E1192" s="29" t="n"/>
      <c r="F1192" s="29" t="n"/>
      <c r="G1192" s="28" t="n"/>
      <c r="H1192" s="28" t="n"/>
      <c r="I1192" s="28" t="n"/>
      <c r="J1192" s="28" t="n"/>
      <c r="K1192" s="24">
        <f>IF(D1192="","",IFERROR(INDEX(Setup!$B$24:$B$59,MATCH(D1192,Setup!$A$24:$A$59,0)),"Check category"))</f>
        <v/>
      </c>
      <c r="L1192" s="25">
        <f>IF(A1192="","",DATE(YEAR(A1192),MONTH(A1192),1))</f>
        <v/>
      </c>
      <c r="M1192" s="26">
        <f>IF(AND(E1192="",F1192=""),"",N(E1192)-N(F1192))</f>
        <v/>
      </c>
      <c r="N1192" s="28" t="n"/>
    </row>
    <row r="1193">
      <c r="A1193" s="27" t="n"/>
      <c r="B1193" s="28" t="n"/>
      <c r="C1193" s="28" t="n"/>
      <c r="D1193" s="28" t="n"/>
      <c r="E1193" s="29" t="n"/>
      <c r="F1193" s="29" t="n"/>
      <c r="G1193" s="28" t="n"/>
      <c r="H1193" s="28" t="n"/>
      <c r="I1193" s="28" t="n"/>
      <c r="J1193" s="28" t="n"/>
      <c r="K1193" s="24">
        <f>IF(D1193="","",IFERROR(INDEX(Setup!$B$24:$B$59,MATCH(D1193,Setup!$A$24:$A$59,0)),"Check category"))</f>
        <v/>
      </c>
      <c r="L1193" s="25">
        <f>IF(A1193="","",DATE(YEAR(A1193),MONTH(A1193),1))</f>
        <v/>
      </c>
      <c r="M1193" s="26">
        <f>IF(AND(E1193="",F1193=""),"",N(E1193)-N(F1193))</f>
        <v/>
      </c>
      <c r="N1193" s="28" t="n"/>
    </row>
    <row r="1194">
      <c r="A1194" s="27" t="n"/>
      <c r="B1194" s="28" t="n"/>
      <c r="C1194" s="28" t="n"/>
      <c r="D1194" s="28" t="n"/>
      <c r="E1194" s="29" t="n"/>
      <c r="F1194" s="29" t="n"/>
      <c r="G1194" s="28" t="n"/>
      <c r="H1194" s="28" t="n"/>
      <c r="I1194" s="28" t="n"/>
      <c r="J1194" s="28" t="n"/>
      <c r="K1194" s="24">
        <f>IF(D1194="","",IFERROR(INDEX(Setup!$B$24:$B$59,MATCH(D1194,Setup!$A$24:$A$59,0)),"Check category"))</f>
        <v/>
      </c>
      <c r="L1194" s="25">
        <f>IF(A1194="","",DATE(YEAR(A1194),MONTH(A1194),1))</f>
        <v/>
      </c>
      <c r="M1194" s="26">
        <f>IF(AND(E1194="",F1194=""),"",N(E1194)-N(F1194))</f>
        <v/>
      </c>
      <c r="N1194" s="28" t="n"/>
    </row>
    <row r="1195">
      <c r="A1195" s="27" t="n"/>
      <c r="B1195" s="28" t="n"/>
      <c r="C1195" s="28" t="n"/>
      <c r="D1195" s="28" t="n"/>
      <c r="E1195" s="29" t="n"/>
      <c r="F1195" s="29" t="n"/>
      <c r="G1195" s="28" t="n"/>
      <c r="H1195" s="28" t="n"/>
      <c r="I1195" s="28" t="n"/>
      <c r="J1195" s="28" t="n"/>
      <c r="K1195" s="24">
        <f>IF(D1195="","",IFERROR(INDEX(Setup!$B$24:$B$59,MATCH(D1195,Setup!$A$24:$A$59,0)),"Check category"))</f>
        <v/>
      </c>
      <c r="L1195" s="25">
        <f>IF(A1195="","",DATE(YEAR(A1195),MONTH(A1195),1))</f>
        <v/>
      </c>
      <c r="M1195" s="26">
        <f>IF(AND(E1195="",F1195=""),"",N(E1195)-N(F1195))</f>
        <v/>
      </c>
      <c r="N1195" s="28" t="n"/>
    </row>
    <row r="1196">
      <c r="A1196" s="27" t="n"/>
      <c r="B1196" s="28" t="n"/>
      <c r="C1196" s="28" t="n"/>
      <c r="D1196" s="28" t="n"/>
      <c r="E1196" s="29" t="n"/>
      <c r="F1196" s="29" t="n"/>
      <c r="G1196" s="28" t="n"/>
      <c r="H1196" s="28" t="n"/>
      <c r="I1196" s="28" t="n"/>
      <c r="J1196" s="28" t="n"/>
      <c r="K1196" s="24">
        <f>IF(D1196="","",IFERROR(INDEX(Setup!$B$24:$B$59,MATCH(D1196,Setup!$A$24:$A$59,0)),"Check category"))</f>
        <v/>
      </c>
      <c r="L1196" s="25">
        <f>IF(A1196="","",DATE(YEAR(A1196),MONTH(A1196),1))</f>
        <v/>
      </c>
      <c r="M1196" s="26">
        <f>IF(AND(E1196="",F1196=""),"",N(E1196)-N(F1196))</f>
        <v/>
      </c>
      <c r="N1196" s="28" t="n"/>
    </row>
    <row r="1197">
      <c r="A1197" s="27" t="n"/>
      <c r="B1197" s="28" t="n"/>
      <c r="C1197" s="28" t="n"/>
      <c r="D1197" s="28" t="n"/>
      <c r="E1197" s="29" t="n"/>
      <c r="F1197" s="29" t="n"/>
      <c r="G1197" s="28" t="n"/>
      <c r="H1197" s="28" t="n"/>
      <c r="I1197" s="28" t="n"/>
      <c r="J1197" s="28" t="n"/>
      <c r="K1197" s="24">
        <f>IF(D1197="","",IFERROR(INDEX(Setup!$B$24:$B$59,MATCH(D1197,Setup!$A$24:$A$59,0)),"Check category"))</f>
        <v/>
      </c>
      <c r="L1197" s="25">
        <f>IF(A1197="","",DATE(YEAR(A1197),MONTH(A1197),1))</f>
        <v/>
      </c>
      <c r="M1197" s="26">
        <f>IF(AND(E1197="",F1197=""),"",N(E1197)-N(F1197))</f>
        <v/>
      </c>
      <c r="N1197" s="28" t="n"/>
    </row>
    <row r="1198">
      <c r="A1198" s="27" t="n"/>
      <c r="B1198" s="28" t="n"/>
      <c r="C1198" s="28" t="n"/>
      <c r="D1198" s="28" t="n"/>
      <c r="E1198" s="29" t="n"/>
      <c r="F1198" s="29" t="n"/>
      <c r="G1198" s="28" t="n"/>
      <c r="H1198" s="28" t="n"/>
      <c r="I1198" s="28" t="n"/>
      <c r="J1198" s="28" t="n"/>
      <c r="K1198" s="24">
        <f>IF(D1198="","",IFERROR(INDEX(Setup!$B$24:$B$59,MATCH(D1198,Setup!$A$24:$A$59,0)),"Check category"))</f>
        <v/>
      </c>
      <c r="L1198" s="25">
        <f>IF(A1198="","",DATE(YEAR(A1198),MONTH(A1198),1))</f>
        <v/>
      </c>
      <c r="M1198" s="26">
        <f>IF(AND(E1198="",F1198=""),"",N(E1198)-N(F1198))</f>
        <v/>
      </c>
      <c r="N1198" s="28" t="n"/>
    </row>
    <row r="1199">
      <c r="A1199" s="27" t="n"/>
      <c r="B1199" s="28" t="n"/>
      <c r="C1199" s="28" t="n"/>
      <c r="D1199" s="28" t="n"/>
      <c r="E1199" s="29" t="n"/>
      <c r="F1199" s="29" t="n"/>
      <c r="G1199" s="28" t="n"/>
      <c r="H1199" s="28" t="n"/>
      <c r="I1199" s="28" t="n"/>
      <c r="J1199" s="28" t="n"/>
      <c r="K1199" s="24">
        <f>IF(D1199="","",IFERROR(INDEX(Setup!$B$24:$B$59,MATCH(D1199,Setup!$A$24:$A$59,0)),"Check category"))</f>
        <v/>
      </c>
      <c r="L1199" s="25">
        <f>IF(A1199="","",DATE(YEAR(A1199),MONTH(A1199),1))</f>
        <v/>
      </c>
      <c r="M1199" s="26">
        <f>IF(AND(E1199="",F1199=""),"",N(E1199)-N(F1199))</f>
        <v/>
      </c>
      <c r="N1199" s="28" t="n"/>
    </row>
    <row r="1200">
      <c r="A1200" s="27" t="n"/>
      <c r="B1200" s="28" t="n"/>
      <c r="C1200" s="28" t="n"/>
      <c r="D1200" s="28" t="n"/>
      <c r="E1200" s="29" t="n"/>
      <c r="F1200" s="29" t="n"/>
      <c r="G1200" s="28" t="n"/>
      <c r="H1200" s="28" t="n"/>
      <c r="I1200" s="28" t="n"/>
      <c r="J1200" s="28" t="n"/>
      <c r="K1200" s="24">
        <f>IF(D1200="","",IFERROR(INDEX(Setup!$B$24:$B$59,MATCH(D1200,Setup!$A$24:$A$59,0)),"Check category"))</f>
        <v/>
      </c>
      <c r="L1200" s="25">
        <f>IF(A1200="","",DATE(YEAR(A1200),MONTH(A1200),1))</f>
        <v/>
      </c>
      <c r="M1200" s="26">
        <f>IF(AND(E1200="",F1200=""),"",N(E1200)-N(F1200))</f>
        <v/>
      </c>
      <c r="N1200" s="28" t="n"/>
    </row>
    <row r="1201">
      <c r="A1201" s="27" t="n"/>
      <c r="B1201" s="28" t="n"/>
      <c r="C1201" s="28" t="n"/>
      <c r="D1201" s="28" t="n"/>
      <c r="E1201" s="29" t="n"/>
      <c r="F1201" s="29" t="n"/>
      <c r="G1201" s="28" t="n"/>
      <c r="H1201" s="28" t="n"/>
      <c r="I1201" s="28" t="n"/>
      <c r="J1201" s="28" t="n"/>
      <c r="K1201" s="24">
        <f>IF(D1201="","",IFERROR(INDEX(Setup!$B$24:$B$59,MATCH(D1201,Setup!$A$24:$A$59,0)),"Check category"))</f>
        <v/>
      </c>
      <c r="L1201" s="25">
        <f>IF(A1201="","",DATE(YEAR(A1201),MONTH(A1201),1))</f>
        <v/>
      </c>
      <c r="M1201" s="26">
        <f>IF(AND(E1201="",F1201=""),"",N(E1201)-N(F1201))</f>
        <v/>
      </c>
      <c r="N1201" s="28" t="n"/>
    </row>
    <row r="1202">
      <c r="A1202" s="27" t="n"/>
      <c r="B1202" s="28" t="n"/>
      <c r="C1202" s="28" t="n"/>
      <c r="D1202" s="28" t="n"/>
      <c r="E1202" s="29" t="n"/>
      <c r="F1202" s="29" t="n"/>
      <c r="G1202" s="28" t="n"/>
      <c r="H1202" s="28" t="n"/>
      <c r="I1202" s="28" t="n"/>
      <c r="J1202" s="28" t="n"/>
      <c r="K1202" s="24">
        <f>IF(D1202="","",IFERROR(INDEX(Setup!$B$24:$B$59,MATCH(D1202,Setup!$A$24:$A$59,0)),"Check category"))</f>
        <v/>
      </c>
      <c r="L1202" s="25">
        <f>IF(A1202="","",DATE(YEAR(A1202),MONTH(A1202),1))</f>
        <v/>
      </c>
      <c r="M1202" s="26">
        <f>IF(AND(E1202="",F1202=""),"",N(E1202)-N(F1202))</f>
        <v/>
      </c>
      <c r="N1202" s="28" t="n"/>
    </row>
    <row r="1203">
      <c r="A1203" s="27" t="n"/>
      <c r="B1203" s="28" t="n"/>
      <c r="C1203" s="28" t="n"/>
      <c r="D1203" s="28" t="n"/>
      <c r="E1203" s="29" t="n"/>
      <c r="F1203" s="29" t="n"/>
      <c r="G1203" s="28" t="n"/>
      <c r="H1203" s="28" t="n"/>
      <c r="I1203" s="28" t="n"/>
      <c r="J1203" s="28" t="n"/>
      <c r="K1203" s="24">
        <f>IF(D1203="","",IFERROR(INDEX(Setup!$B$24:$B$59,MATCH(D1203,Setup!$A$24:$A$59,0)),"Check category"))</f>
        <v/>
      </c>
      <c r="L1203" s="25">
        <f>IF(A1203="","",DATE(YEAR(A1203),MONTH(A1203),1))</f>
        <v/>
      </c>
      <c r="M1203" s="26">
        <f>IF(AND(E1203="",F1203=""),"",N(E1203)-N(F1203))</f>
        <v/>
      </c>
      <c r="N1203" s="28" t="n"/>
    </row>
    <row r="1204">
      <c r="A1204" s="27" t="n"/>
      <c r="B1204" s="28" t="n"/>
      <c r="C1204" s="28" t="n"/>
      <c r="D1204" s="28" t="n"/>
      <c r="E1204" s="29" t="n"/>
      <c r="F1204" s="29" t="n"/>
      <c r="G1204" s="28" t="n"/>
      <c r="H1204" s="28" t="n"/>
      <c r="I1204" s="28" t="n"/>
      <c r="J1204" s="28" t="n"/>
      <c r="K1204" s="24">
        <f>IF(D1204="","",IFERROR(INDEX(Setup!$B$24:$B$59,MATCH(D1204,Setup!$A$24:$A$59,0)),"Check category"))</f>
        <v/>
      </c>
      <c r="L1204" s="25">
        <f>IF(A1204="","",DATE(YEAR(A1204),MONTH(A1204),1))</f>
        <v/>
      </c>
      <c r="M1204" s="26">
        <f>IF(AND(E1204="",F1204=""),"",N(E1204)-N(F1204))</f>
        <v/>
      </c>
      <c r="N1204" s="28" t="n"/>
    </row>
    <row r="1205">
      <c r="A1205" s="27" t="n"/>
      <c r="B1205" s="28" t="n"/>
      <c r="C1205" s="28" t="n"/>
      <c r="D1205" s="28" t="n"/>
      <c r="E1205" s="29" t="n"/>
      <c r="F1205" s="29" t="n"/>
      <c r="G1205" s="28" t="n"/>
      <c r="H1205" s="28" t="n"/>
      <c r="I1205" s="28" t="n"/>
      <c r="J1205" s="28" t="n"/>
      <c r="K1205" s="24">
        <f>IF(D1205="","",IFERROR(INDEX(Setup!$B$24:$B$59,MATCH(D1205,Setup!$A$24:$A$59,0)),"Check category"))</f>
        <v/>
      </c>
      <c r="L1205" s="25">
        <f>IF(A1205="","",DATE(YEAR(A1205),MONTH(A1205),1))</f>
        <v/>
      </c>
      <c r="M1205" s="26">
        <f>IF(AND(E1205="",F1205=""),"",N(E1205)-N(F1205))</f>
        <v/>
      </c>
      <c r="N1205" s="28" t="n"/>
    </row>
    <row r="1206">
      <c r="A1206" s="27" t="n"/>
      <c r="B1206" s="28" t="n"/>
      <c r="C1206" s="28" t="n"/>
      <c r="D1206" s="28" t="n"/>
      <c r="E1206" s="29" t="n"/>
      <c r="F1206" s="29" t="n"/>
      <c r="G1206" s="28" t="n"/>
      <c r="H1206" s="28" t="n"/>
      <c r="I1206" s="28" t="n"/>
      <c r="J1206" s="28" t="n"/>
      <c r="K1206" s="24">
        <f>IF(D1206="","",IFERROR(INDEX(Setup!$B$24:$B$59,MATCH(D1206,Setup!$A$24:$A$59,0)),"Check category"))</f>
        <v/>
      </c>
      <c r="L1206" s="25">
        <f>IF(A1206="","",DATE(YEAR(A1206),MONTH(A1206),1))</f>
        <v/>
      </c>
      <c r="M1206" s="26">
        <f>IF(AND(E1206="",F1206=""),"",N(E1206)-N(F1206))</f>
        <v/>
      </c>
      <c r="N1206" s="28" t="n"/>
    </row>
    <row r="1207">
      <c r="A1207" s="27" t="n"/>
      <c r="B1207" s="28" t="n"/>
      <c r="C1207" s="28" t="n"/>
      <c r="D1207" s="28" t="n"/>
      <c r="E1207" s="29" t="n"/>
      <c r="F1207" s="29" t="n"/>
      <c r="G1207" s="28" t="n"/>
      <c r="H1207" s="28" t="n"/>
      <c r="I1207" s="28" t="n"/>
      <c r="J1207" s="28" t="n"/>
      <c r="K1207" s="24">
        <f>IF(D1207="","",IFERROR(INDEX(Setup!$B$24:$B$59,MATCH(D1207,Setup!$A$24:$A$59,0)),"Check category"))</f>
        <v/>
      </c>
      <c r="L1207" s="25">
        <f>IF(A1207="","",DATE(YEAR(A1207),MONTH(A1207),1))</f>
        <v/>
      </c>
      <c r="M1207" s="26">
        <f>IF(AND(E1207="",F1207=""),"",N(E1207)-N(F1207))</f>
        <v/>
      </c>
      <c r="N1207" s="28" t="n"/>
    </row>
    <row r="1208">
      <c r="A1208" s="27" t="n"/>
      <c r="B1208" s="28" t="n"/>
      <c r="C1208" s="28" t="n"/>
      <c r="D1208" s="28" t="n"/>
      <c r="E1208" s="29" t="n"/>
      <c r="F1208" s="29" t="n"/>
      <c r="G1208" s="28" t="n"/>
      <c r="H1208" s="28" t="n"/>
      <c r="I1208" s="28" t="n"/>
      <c r="J1208" s="28" t="n"/>
      <c r="K1208" s="24">
        <f>IF(D1208="","",IFERROR(INDEX(Setup!$B$24:$B$59,MATCH(D1208,Setup!$A$24:$A$59,0)),"Check category"))</f>
        <v/>
      </c>
      <c r="L1208" s="25">
        <f>IF(A1208="","",DATE(YEAR(A1208),MONTH(A1208),1))</f>
        <v/>
      </c>
      <c r="M1208" s="26">
        <f>IF(AND(E1208="",F1208=""),"",N(E1208)-N(F1208))</f>
        <v/>
      </c>
      <c r="N1208" s="28" t="n"/>
    </row>
    <row r="1209">
      <c r="A1209" s="27" t="n"/>
      <c r="B1209" s="28" t="n"/>
      <c r="C1209" s="28" t="n"/>
      <c r="D1209" s="28" t="n"/>
      <c r="E1209" s="29" t="n"/>
      <c r="F1209" s="29" t="n"/>
      <c r="G1209" s="28" t="n"/>
      <c r="H1209" s="28" t="n"/>
      <c r="I1209" s="28" t="n"/>
      <c r="J1209" s="28" t="n"/>
      <c r="K1209" s="24">
        <f>IF(D1209="","",IFERROR(INDEX(Setup!$B$24:$B$59,MATCH(D1209,Setup!$A$24:$A$59,0)),"Check category"))</f>
        <v/>
      </c>
      <c r="L1209" s="25">
        <f>IF(A1209="","",DATE(YEAR(A1209),MONTH(A1209),1))</f>
        <v/>
      </c>
      <c r="M1209" s="26">
        <f>IF(AND(E1209="",F1209=""),"",N(E1209)-N(F1209))</f>
        <v/>
      </c>
      <c r="N1209" s="28" t="n"/>
    </row>
    <row r="1210">
      <c r="A1210" s="27" t="n"/>
      <c r="B1210" s="28" t="n"/>
      <c r="C1210" s="28" t="n"/>
      <c r="D1210" s="28" t="n"/>
      <c r="E1210" s="29" t="n"/>
      <c r="F1210" s="29" t="n"/>
      <c r="G1210" s="28" t="n"/>
      <c r="H1210" s="28" t="n"/>
      <c r="I1210" s="28" t="n"/>
      <c r="J1210" s="28" t="n"/>
      <c r="K1210" s="24">
        <f>IF(D1210="","",IFERROR(INDEX(Setup!$B$24:$B$59,MATCH(D1210,Setup!$A$24:$A$59,0)),"Check category"))</f>
        <v/>
      </c>
      <c r="L1210" s="25">
        <f>IF(A1210="","",DATE(YEAR(A1210),MONTH(A1210),1))</f>
        <v/>
      </c>
      <c r="M1210" s="26">
        <f>IF(AND(E1210="",F1210=""),"",N(E1210)-N(F1210))</f>
        <v/>
      </c>
      <c r="N1210" s="28" t="n"/>
    </row>
    <row r="1211">
      <c r="A1211" s="27" t="n"/>
      <c r="B1211" s="28" t="n"/>
      <c r="C1211" s="28" t="n"/>
      <c r="D1211" s="28" t="n"/>
      <c r="E1211" s="29" t="n"/>
      <c r="F1211" s="29" t="n"/>
      <c r="G1211" s="28" t="n"/>
      <c r="H1211" s="28" t="n"/>
      <c r="I1211" s="28" t="n"/>
      <c r="J1211" s="28" t="n"/>
      <c r="K1211" s="24">
        <f>IF(D1211="","",IFERROR(INDEX(Setup!$B$24:$B$59,MATCH(D1211,Setup!$A$24:$A$59,0)),"Check category"))</f>
        <v/>
      </c>
      <c r="L1211" s="25">
        <f>IF(A1211="","",DATE(YEAR(A1211),MONTH(A1211),1))</f>
        <v/>
      </c>
      <c r="M1211" s="26">
        <f>IF(AND(E1211="",F1211=""),"",N(E1211)-N(F1211))</f>
        <v/>
      </c>
      <c r="N1211" s="28" t="n"/>
    </row>
    <row r="1212">
      <c r="A1212" s="27" t="n"/>
      <c r="B1212" s="28" t="n"/>
      <c r="C1212" s="28" t="n"/>
      <c r="D1212" s="28" t="n"/>
      <c r="E1212" s="29" t="n"/>
      <c r="F1212" s="29" t="n"/>
      <c r="G1212" s="28" t="n"/>
      <c r="H1212" s="28" t="n"/>
      <c r="I1212" s="28" t="n"/>
      <c r="J1212" s="28" t="n"/>
      <c r="K1212" s="24">
        <f>IF(D1212="","",IFERROR(INDEX(Setup!$B$24:$B$59,MATCH(D1212,Setup!$A$24:$A$59,0)),"Check category"))</f>
        <v/>
      </c>
      <c r="L1212" s="25">
        <f>IF(A1212="","",DATE(YEAR(A1212),MONTH(A1212),1))</f>
        <v/>
      </c>
      <c r="M1212" s="26">
        <f>IF(AND(E1212="",F1212=""),"",N(E1212)-N(F1212))</f>
        <v/>
      </c>
      <c r="N1212" s="28" t="n"/>
    </row>
    <row r="1213">
      <c r="A1213" s="27" t="n"/>
      <c r="B1213" s="28" t="n"/>
      <c r="C1213" s="28" t="n"/>
      <c r="D1213" s="28" t="n"/>
      <c r="E1213" s="29" t="n"/>
      <c r="F1213" s="29" t="n"/>
      <c r="G1213" s="28" t="n"/>
      <c r="H1213" s="28" t="n"/>
      <c r="I1213" s="28" t="n"/>
      <c r="J1213" s="28" t="n"/>
      <c r="K1213" s="24">
        <f>IF(D1213="","",IFERROR(INDEX(Setup!$B$24:$B$59,MATCH(D1213,Setup!$A$24:$A$59,0)),"Check category"))</f>
        <v/>
      </c>
      <c r="L1213" s="25">
        <f>IF(A1213="","",DATE(YEAR(A1213),MONTH(A1213),1))</f>
        <v/>
      </c>
      <c r="M1213" s="26">
        <f>IF(AND(E1213="",F1213=""),"",N(E1213)-N(F1213))</f>
        <v/>
      </c>
      <c r="N1213" s="28" t="n"/>
    </row>
    <row r="1214">
      <c r="A1214" s="27" t="n"/>
      <c r="B1214" s="28" t="n"/>
      <c r="C1214" s="28" t="n"/>
      <c r="D1214" s="28" t="n"/>
      <c r="E1214" s="29" t="n"/>
      <c r="F1214" s="29" t="n"/>
      <c r="G1214" s="28" t="n"/>
      <c r="H1214" s="28" t="n"/>
      <c r="I1214" s="28" t="n"/>
      <c r="J1214" s="28" t="n"/>
      <c r="K1214" s="24">
        <f>IF(D1214="","",IFERROR(INDEX(Setup!$B$24:$B$59,MATCH(D1214,Setup!$A$24:$A$59,0)),"Check category"))</f>
        <v/>
      </c>
      <c r="L1214" s="25">
        <f>IF(A1214="","",DATE(YEAR(A1214),MONTH(A1214),1))</f>
        <v/>
      </c>
      <c r="M1214" s="26">
        <f>IF(AND(E1214="",F1214=""),"",N(E1214)-N(F1214))</f>
        <v/>
      </c>
      <c r="N1214" s="28" t="n"/>
    </row>
    <row r="1215">
      <c r="A1215" s="27" t="n"/>
      <c r="B1215" s="28" t="n"/>
      <c r="C1215" s="28" t="n"/>
      <c r="D1215" s="28" t="n"/>
      <c r="E1215" s="29" t="n"/>
      <c r="F1215" s="29" t="n"/>
      <c r="G1215" s="28" t="n"/>
      <c r="H1215" s="28" t="n"/>
      <c r="I1215" s="28" t="n"/>
      <c r="J1215" s="28" t="n"/>
      <c r="K1215" s="24">
        <f>IF(D1215="","",IFERROR(INDEX(Setup!$B$24:$B$59,MATCH(D1215,Setup!$A$24:$A$59,0)),"Check category"))</f>
        <v/>
      </c>
      <c r="L1215" s="25">
        <f>IF(A1215="","",DATE(YEAR(A1215),MONTH(A1215),1))</f>
        <v/>
      </c>
      <c r="M1215" s="26">
        <f>IF(AND(E1215="",F1215=""),"",N(E1215)-N(F1215))</f>
        <v/>
      </c>
      <c r="N1215" s="28" t="n"/>
    </row>
    <row r="1216">
      <c r="A1216" s="27" t="n"/>
      <c r="B1216" s="28" t="n"/>
      <c r="C1216" s="28" t="n"/>
      <c r="D1216" s="28" t="n"/>
      <c r="E1216" s="29" t="n"/>
      <c r="F1216" s="29" t="n"/>
      <c r="G1216" s="28" t="n"/>
      <c r="H1216" s="28" t="n"/>
      <c r="I1216" s="28" t="n"/>
      <c r="J1216" s="28" t="n"/>
      <c r="K1216" s="24">
        <f>IF(D1216="","",IFERROR(INDEX(Setup!$B$24:$B$59,MATCH(D1216,Setup!$A$24:$A$59,0)),"Check category"))</f>
        <v/>
      </c>
      <c r="L1216" s="25">
        <f>IF(A1216="","",DATE(YEAR(A1216),MONTH(A1216),1))</f>
        <v/>
      </c>
      <c r="M1216" s="26">
        <f>IF(AND(E1216="",F1216=""),"",N(E1216)-N(F1216))</f>
        <v/>
      </c>
      <c r="N1216" s="28" t="n"/>
    </row>
    <row r="1217">
      <c r="A1217" s="27" t="n"/>
      <c r="B1217" s="28" t="n"/>
      <c r="C1217" s="28" t="n"/>
      <c r="D1217" s="28" t="n"/>
      <c r="E1217" s="29" t="n"/>
      <c r="F1217" s="29" t="n"/>
      <c r="G1217" s="28" t="n"/>
      <c r="H1217" s="28" t="n"/>
      <c r="I1217" s="28" t="n"/>
      <c r="J1217" s="28" t="n"/>
      <c r="K1217" s="24">
        <f>IF(D1217="","",IFERROR(INDEX(Setup!$B$24:$B$59,MATCH(D1217,Setup!$A$24:$A$59,0)),"Check category"))</f>
        <v/>
      </c>
      <c r="L1217" s="25">
        <f>IF(A1217="","",DATE(YEAR(A1217),MONTH(A1217),1))</f>
        <v/>
      </c>
      <c r="M1217" s="26">
        <f>IF(AND(E1217="",F1217=""),"",N(E1217)-N(F1217))</f>
        <v/>
      </c>
      <c r="N1217" s="28" t="n"/>
    </row>
    <row r="1218">
      <c r="A1218" s="27" t="n"/>
      <c r="B1218" s="28" t="n"/>
      <c r="C1218" s="28" t="n"/>
      <c r="D1218" s="28" t="n"/>
      <c r="E1218" s="29" t="n"/>
      <c r="F1218" s="29" t="n"/>
      <c r="G1218" s="28" t="n"/>
      <c r="H1218" s="28" t="n"/>
      <c r="I1218" s="28" t="n"/>
      <c r="J1218" s="28" t="n"/>
      <c r="K1218" s="24">
        <f>IF(D1218="","",IFERROR(INDEX(Setup!$B$24:$B$59,MATCH(D1218,Setup!$A$24:$A$59,0)),"Check category"))</f>
        <v/>
      </c>
      <c r="L1218" s="25">
        <f>IF(A1218="","",DATE(YEAR(A1218),MONTH(A1218),1))</f>
        <v/>
      </c>
      <c r="M1218" s="26">
        <f>IF(AND(E1218="",F1218=""),"",N(E1218)-N(F1218))</f>
        <v/>
      </c>
      <c r="N1218" s="28" t="n"/>
    </row>
    <row r="1219">
      <c r="A1219" s="27" t="n"/>
      <c r="B1219" s="28" t="n"/>
      <c r="C1219" s="28" t="n"/>
      <c r="D1219" s="28" t="n"/>
      <c r="E1219" s="29" t="n"/>
      <c r="F1219" s="29" t="n"/>
      <c r="G1219" s="28" t="n"/>
      <c r="H1219" s="28" t="n"/>
      <c r="I1219" s="28" t="n"/>
      <c r="J1219" s="28" t="n"/>
      <c r="K1219" s="24">
        <f>IF(D1219="","",IFERROR(INDEX(Setup!$B$24:$B$59,MATCH(D1219,Setup!$A$24:$A$59,0)),"Check category"))</f>
        <v/>
      </c>
      <c r="L1219" s="25">
        <f>IF(A1219="","",DATE(YEAR(A1219),MONTH(A1219),1))</f>
        <v/>
      </c>
      <c r="M1219" s="26">
        <f>IF(AND(E1219="",F1219=""),"",N(E1219)-N(F1219))</f>
        <v/>
      </c>
      <c r="N1219" s="28" t="n"/>
    </row>
    <row r="1220">
      <c r="A1220" s="27" t="n"/>
      <c r="B1220" s="28" t="n"/>
      <c r="C1220" s="28" t="n"/>
      <c r="D1220" s="28" t="n"/>
      <c r="E1220" s="29" t="n"/>
      <c r="F1220" s="29" t="n"/>
      <c r="G1220" s="28" t="n"/>
      <c r="H1220" s="28" t="n"/>
      <c r="I1220" s="28" t="n"/>
      <c r="J1220" s="28" t="n"/>
      <c r="K1220" s="24">
        <f>IF(D1220="","",IFERROR(INDEX(Setup!$B$24:$B$59,MATCH(D1220,Setup!$A$24:$A$59,0)),"Check category"))</f>
        <v/>
      </c>
      <c r="L1220" s="25">
        <f>IF(A1220="","",DATE(YEAR(A1220),MONTH(A1220),1))</f>
        <v/>
      </c>
      <c r="M1220" s="26">
        <f>IF(AND(E1220="",F1220=""),"",N(E1220)-N(F1220))</f>
        <v/>
      </c>
      <c r="N1220" s="28" t="n"/>
    </row>
    <row r="1221">
      <c r="A1221" s="27" t="n"/>
      <c r="B1221" s="28" t="n"/>
      <c r="C1221" s="28" t="n"/>
      <c r="D1221" s="28" t="n"/>
      <c r="E1221" s="29" t="n"/>
      <c r="F1221" s="29" t="n"/>
      <c r="G1221" s="28" t="n"/>
      <c r="H1221" s="28" t="n"/>
      <c r="I1221" s="28" t="n"/>
      <c r="J1221" s="28" t="n"/>
      <c r="K1221" s="24">
        <f>IF(D1221="","",IFERROR(INDEX(Setup!$B$24:$B$59,MATCH(D1221,Setup!$A$24:$A$59,0)),"Check category"))</f>
        <v/>
      </c>
      <c r="L1221" s="25">
        <f>IF(A1221="","",DATE(YEAR(A1221),MONTH(A1221),1))</f>
        <v/>
      </c>
      <c r="M1221" s="26">
        <f>IF(AND(E1221="",F1221=""),"",N(E1221)-N(F1221))</f>
        <v/>
      </c>
      <c r="N1221" s="28" t="n"/>
    </row>
    <row r="1222">
      <c r="A1222" s="27" t="n"/>
      <c r="B1222" s="28" t="n"/>
      <c r="C1222" s="28" t="n"/>
      <c r="D1222" s="28" t="n"/>
      <c r="E1222" s="29" t="n"/>
      <c r="F1222" s="29" t="n"/>
      <c r="G1222" s="28" t="n"/>
      <c r="H1222" s="28" t="n"/>
      <c r="I1222" s="28" t="n"/>
      <c r="J1222" s="28" t="n"/>
      <c r="K1222" s="24">
        <f>IF(D1222="","",IFERROR(INDEX(Setup!$B$24:$B$59,MATCH(D1222,Setup!$A$24:$A$59,0)),"Check category"))</f>
        <v/>
      </c>
      <c r="L1222" s="25">
        <f>IF(A1222="","",DATE(YEAR(A1222),MONTH(A1222),1))</f>
        <v/>
      </c>
      <c r="M1222" s="26">
        <f>IF(AND(E1222="",F1222=""),"",N(E1222)-N(F1222))</f>
        <v/>
      </c>
      <c r="N1222" s="28" t="n"/>
    </row>
    <row r="1223">
      <c r="A1223" s="27" t="n"/>
      <c r="B1223" s="28" t="n"/>
      <c r="C1223" s="28" t="n"/>
      <c r="D1223" s="28" t="n"/>
      <c r="E1223" s="29" t="n"/>
      <c r="F1223" s="29" t="n"/>
      <c r="G1223" s="28" t="n"/>
      <c r="H1223" s="28" t="n"/>
      <c r="I1223" s="28" t="n"/>
      <c r="J1223" s="28" t="n"/>
      <c r="K1223" s="24">
        <f>IF(D1223="","",IFERROR(INDEX(Setup!$B$24:$B$59,MATCH(D1223,Setup!$A$24:$A$59,0)),"Check category"))</f>
        <v/>
      </c>
      <c r="L1223" s="25">
        <f>IF(A1223="","",DATE(YEAR(A1223),MONTH(A1223),1))</f>
        <v/>
      </c>
      <c r="M1223" s="26">
        <f>IF(AND(E1223="",F1223=""),"",N(E1223)-N(F1223))</f>
        <v/>
      </c>
      <c r="N1223" s="28" t="n"/>
    </row>
    <row r="1224">
      <c r="A1224" s="27" t="n"/>
      <c r="B1224" s="28" t="n"/>
      <c r="C1224" s="28" t="n"/>
      <c r="D1224" s="28" t="n"/>
      <c r="E1224" s="29" t="n"/>
      <c r="F1224" s="29" t="n"/>
      <c r="G1224" s="28" t="n"/>
      <c r="H1224" s="28" t="n"/>
      <c r="I1224" s="28" t="n"/>
      <c r="J1224" s="28" t="n"/>
      <c r="K1224" s="24">
        <f>IF(D1224="","",IFERROR(INDEX(Setup!$B$24:$B$59,MATCH(D1224,Setup!$A$24:$A$59,0)),"Check category"))</f>
        <v/>
      </c>
      <c r="L1224" s="25">
        <f>IF(A1224="","",DATE(YEAR(A1224),MONTH(A1224),1))</f>
        <v/>
      </c>
      <c r="M1224" s="26">
        <f>IF(AND(E1224="",F1224=""),"",N(E1224)-N(F1224))</f>
        <v/>
      </c>
      <c r="N1224" s="28" t="n"/>
    </row>
    <row r="1225">
      <c r="A1225" s="27" t="n"/>
      <c r="B1225" s="28" t="n"/>
      <c r="C1225" s="28" t="n"/>
      <c r="D1225" s="28" t="n"/>
      <c r="E1225" s="29" t="n"/>
      <c r="F1225" s="29" t="n"/>
      <c r="G1225" s="28" t="n"/>
      <c r="H1225" s="28" t="n"/>
      <c r="I1225" s="28" t="n"/>
      <c r="J1225" s="28" t="n"/>
      <c r="K1225" s="24">
        <f>IF(D1225="","",IFERROR(INDEX(Setup!$B$24:$B$59,MATCH(D1225,Setup!$A$24:$A$59,0)),"Check category"))</f>
        <v/>
      </c>
      <c r="L1225" s="25">
        <f>IF(A1225="","",DATE(YEAR(A1225),MONTH(A1225),1))</f>
        <v/>
      </c>
      <c r="M1225" s="26">
        <f>IF(AND(E1225="",F1225=""),"",N(E1225)-N(F1225))</f>
        <v/>
      </c>
      <c r="N1225" s="28" t="n"/>
    </row>
    <row r="1226">
      <c r="A1226" s="27" t="n"/>
      <c r="B1226" s="28" t="n"/>
      <c r="C1226" s="28" t="n"/>
      <c r="D1226" s="28" t="n"/>
      <c r="E1226" s="29" t="n"/>
      <c r="F1226" s="29" t="n"/>
      <c r="G1226" s="28" t="n"/>
      <c r="H1226" s="28" t="n"/>
      <c r="I1226" s="28" t="n"/>
      <c r="J1226" s="28" t="n"/>
      <c r="K1226" s="24">
        <f>IF(D1226="","",IFERROR(INDEX(Setup!$B$24:$B$59,MATCH(D1226,Setup!$A$24:$A$59,0)),"Check category"))</f>
        <v/>
      </c>
      <c r="L1226" s="25">
        <f>IF(A1226="","",DATE(YEAR(A1226),MONTH(A1226),1))</f>
        <v/>
      </c>
      <c r="M1226" s="26">
        <f>IF(AND(E1226="",F1226=""),"",N(E1226)-N(F1226))</f>
        <v/>
      </c>
      <c r="N1226" s="28" t="n"/>
    </row>
    <row r="1227">
      <c r="A1227" s="27" t="n"/>
      <c r="B1227" s="28" t="n"/>
      <c r="C1227" s="28" t="n"/>
      <c r="D1227" s="28" t="n"/>
      <c r="E1227" s="29" t="n"/>
      <c r="F1227" s="29" t="n"/>
      <c r="G1227" s="28" t="n"/>
      <c r="H1227" s="28" t="n"/>
      <c r="I1227" s="28" t="n"/>
      <c r="J1227" s="28" t="n"/>
      <c r="K1227" s="24">
        <f>IF(D1227="","",IFERROR(INDEX(Setup!$B$24:$B$59,MATCH(D1227,Setup!$A$24:$A$59,0)),"Check category"))</f>
        <v/>
      </c>
      <c r="L1227" s="25">
        <f>IF(A1227="","",DATE(YEAR(A1227),MONTH(A1227),1))</f>
        <v/>
      </c>
      <c r="M1227" s="26">
        <f>IF(AND(E1227="",F1227=""),"",N(E1227)-N(F1227))</f>
        <v/>
      </c>
      <c r="N1227" s="28" t="n"/>
    </row>
    <row r="1228">
      <c r="A1228" s="27" t="n"/>
      <c r="B1228" s="28" t="n"/>
      <c r="C1228" s="28" t="n"/>
      <c r="D1228" s="28" t="n"/>
      <c r="E1228" s="29" t="n"/>
      <c r="F1228" s="29" t="n"/>
      <c r="G1228" s="28" t="n"/>
      <c r="H1228" s="28" t="n"/>
      <c r="I1228" s="28" t="n"/>
      <c r="J1228" s="28" t="n"/>
      <c r="K1228" s="24">
        <f>IF(D1228="","",IFERROR(INDEX(Setup!$B$24:$B$59,MATCH(D1228,Setup!$A$24:$A$59,0)),"Check category"))</f>
        <v/>
      </c>
      <c r="L1228" s="25">
        <f>IF(A1228="","",DATE(YEAR(A1228),MONTH(A1228),1))</f>
        <v/>
      </c>
      <c r="M1228" s="26">
        <f>IF(AND(E1228="",F1228=""),"",N(E1228)-N(F1228))</f>
        <v/>
      </c>
      <c r="N1228" s="28" t="n"/>
    </row>
    <row r="1229">
      <c r="A1229" s="27" t="n"/>
      <c r="B1229" s="28" t="n"/>
      <c r="C1229" s="28" t="n"/>
      <c r="D1229" s="28" t="n"/>
      <c r="E1229" s="29" t="n"/>
      <c r="F1229" s="29" t="n"/>
      <c r="G1229" s="28" t="n"/>
      <c r="H1229" s="28" t="n"/>
      <c r="I1229" s="28" t="n"/>
      <c r="J1229" s="28" t="n"/>
      <c r="K1229" s="24">
        <f>IF(D1229="","",IFERROR(INDEX(Setup!$B$24:$B$59,MATCH(D1229,Setup!$A$24:$A$59,0)),"Check category"))</f>
        <v/>
      </c>
      <c r="L1229" s="25">
        <f>IF(A1229="","",DATE(YEAR(A1229),MONTH(A1229),1))</f>
        <v/>
      </c>
      <c r="M1229" s="26">
        <f>IF(AND(E1229="",F1229=""),"",N(E1229)-N(F1229))</f>
        <v/>
      </c>
      <c r="N1229" s="28" t="n"/>
    </row>
    <row r="1230">
      <c r="A1230" s="27" t="n"/>
      <c r="B1230" s="28" t="n"/>
      <c r="C1230" s="28" t="n"/>
      <c r="D1230" s="28" t="n"/>
      <c r="E1230" s="29" t="n"/>
      <c r="F1230" s="29" t="n"/>
      <c r="G1230" s="28" t="n"/>
      <c r="H1230" s="28" t="n"/>
      <c r="I1230" s="28" t="n"/>
      <c r="J1230" s="28" t="n"/>
      <c r="K1230" s="24">
        <f>IF(D1230="","",IFERROR(INDEX(Setup!$B$24:$B$59,MATCH(D1230,Setup!$A$24:$A$59,0)),"Check category"))</f>
        <v/>
      </c>
      <c r="L1230" s="25">
        <f>IF(A1230="","",DATE(YEAR(A1230),MONTH(A1230),1))</f>
        <v/>
      </c>
      <c r="M1230" s="26">
        <f>IF(AND(E1230="",F1230=""),"",N(E1230)-N(F1230))</f>
        <v/>
      </c>
      <c r="N1230" s="28" t="n"/>
    </row>
    <row r="1231">
      <c r="A1231" s="27" t="n"/>
      <c r="B1231" s="28" t="n"/>
      <c r="C1231" s="28" t="n"/>
      <c r="D1231" s="28" t="n"/>
      <c r="E1231" s="29" t="n"/>
      <c r="F1231" s="29" t="n"/>
      <c r="G1231" s="28" t="n"/>
      <c r="H1231" s="28" t="n"/>
      <c r="I1231" s="28" t="n"/>
      <c r="J1231" s="28" t="n"/>
      <c r="K1231" s="24">
        <f>IF(D1231="","",IFERROR(INDEX(Setup!$B$24:$B$59,MATCH(D1231,Setup!$A$24:$A$59,0)),"Check category"))</f>
        <v/>
      </c>
      <c r="L1231" s="25">
        <f>IF(A1231="","",DATE(YEAR(A1231),MONTH(A1231),1))</f>
        <v/>
      </c>
      <c r="M1231" s="26">
        <f>IF(AND(E1231="",F1231=""),"",N(E1231)-N(F1231))</f>
        <v/>
      </c>
      <c r="N1231" s="28" t="n"/>
    </row>
    <row r="1232">
      <c r="A1232" s="27" t="n"/>
      <c r="B1232" s="28" t="n"/>
      <c r="C1232" s="28" t="n"/>
      <c r="D1232" s="28" t="n"/>
      <c r="E1232" s="29" t="n"/>
      <c r="F1232" s="29" t="n"/>
      <c r="G1232" s="28" t="n"/>
      <c r="H1232" s="28" t="n"/>
      <c r="I1232" s="28" t="n"/>
      <c r="J1232" s="28" t="n"/>
      <c r="K1232" s="24">
        <f>IF(D1232="","",IFERROR(INDEX(Setup!$B$24:$B$59,MATCH(D1232,Setup!$A$24:$A$59,0)),"Check category"))</f>
        <v/>
      </c>
      <c r="L1232" s="25">
        <f>IF(A1232="","",DATE(YEAR(A1232),MONTH(A1232),1))</f>
        <v/>
      </c>
      <c r="M1232" s="26">
        <f>IF(AND(E1232="",F1232=""),"",N(E1232)-N(F1232))</f>
        <v/>
      </c>
      <c r="N1232" s="28" t="n"/>
    </row>
    <row r="1233">
      <c r="A1233" s="27" t="n"/>
      <c r="B1233" s="28" t="n"/>
      <c r="C1233" s="28" t="n"/>
      <c r="D1233" s="28" t="n"/>
      <c r="E1233" s="29" t="n"/>
      <c r="F1233" s="29" t="n"/>
      <c r="G1233" s="28" t="n"/>
      <c r="H1233" s="28" t="n"/>
      <c r="I1233" s="28" t="n"/>
      <c r="J1233" s="28" t="n"/>
      <c r="K1233" s="24">
        <f>IF(D1233="","",IFERROR(INDEX(Setup!$B$24:$B$59,MATCH(D1233,Setup!$A$24:$A$59,0)),"Check category"))</f>
        <v/>
      </c>
      <c r="L1233" s="25">
        <f>IF(A1233="","",DATE(YEAR(A1233),MONTH(A1233),1))</f>
        <v/>
      </c>
      <c r="M1233" s="26">
        <f>IF(AND(E1233="",F1233=""),"",N(E1233)-N(F1233))</f>
        <v/>
      </c>
      <c r="N1233" s="28" t="n"/>
    </row>
    <row r="1234">
      <c r="A1234" s="27" t="n"/>
      <c r="B1234" s="28" t="n"/>
      <c r="C1234" s="28" t="n"/>
      <c r="D1234" s="28" t="n"/>
      <c r="E1234" s="29" t="n"/>
      <c r="F1234" s="29" t="n"/>
      <c r="G1234" s="28" t="n"/>
      <c r="H1234" s="28" t="n"/>
      <c r="I1234" s="28" t="n"/>
      <c r="J1234" s="28" t="n"/>
      <c r="K1234" s="24">
        <f>IF(D1234="","",IFERROR(INDEX(Setup!$B$24:$B$59,MATCH(D1234,Setup!$A$24:$A$59,0)),"Check category"))</f>
        <v/>
      </c>
      <c r="L1234" s="25">
        <f>IF(A1234="","",DATE(YEAR(A1234),MONTH(A1234),1))</f>
        <v/>
      </c>
      <c r="M1234" s="26">
        <f>IF(AND(E1234="",F1234=""),"",N(E1234)-N(F1234))</f>
        <v/>
      </c>
      <c r="N1234" s="28" t="n"/>
    </row>
    <row r="1235">
      <c r="A1235" s="27" t="n"/>
      <c r="B1235" s="28" t="n"/>
      <c r="C1235" s="28" t="n"/>
      <c r="D1235" s="28" t="n"/>
      <c r="E1235" s="29" t="n"/>
      <c r="F1235" s="29" t="n"/>
      <c r="G1235" s="28" t="n"/>
      <c r="H1235" s="28" t="n"/>
      <c r="I1235" s="28" t="n"/>
      <c r="J1235" s="28" t="n"/>
      <c r="K1235" s="24">
        <f>IF(D1235="","",IFERROR(INDEX(Setup!$B$24:$B$59,MATCH(D1235,Setup!$A$24:$A$59,0)),"Check category"))</f>
        <v/>
      </c>
      <c r="L1235" s="25">
        <f>IF(A1235="","",DATE(YEAR(A1235),MONTH(A1235),1))</f>
        <v/>
      </c>
      <c r="M1235" s="26">
        <f>IF(AND(E1235="",F1235=""),"",N(E1235)-N(F1235))</f>
        <v/>
      </c>
      <c r="N1235" s="28" t="n"/>
    </row>
    <row r="1236">
      <c r="A1236" s="27" t="n"/>
      <c r="B1236" s="28" t="n"/>
      <c r="C1236" s="28" t="n"/>
      <c r="D1236" s="28" t="n"/>
      <c r="E1236" s="29" t="n"/>
      <c r="F1236" s="29" t="n"/>
      <c r="G1236" s="28" t="n"/>
      <c r="H1236" s="28" t="n"/>
      <c r="I1236" s="28" t="n"/>
      <c r="J1236" s="28" t="n"/>
      <c r="K1236" s="24">
        <f>IF(D1236="","",IFERROR(INDEX(Setup!$B$24:$B$59,MATCH(D1236,Setup!$A$24:$A$59,0)),"Check category"))</f>
        <v/>
      </c>
      <c r="L1236" s="25">
        <f>IF(A1236="","",DATE(YEAR(A1236),MONTH(A1236),1))</f>
        <v/>
      </c>
      <c r="M1236" s="26">
        <f>IF(AND(E1236="",F1236=""),"",N(E1236)-N(F1236))</f>
        <v/>
      </c>
      <c r="N1236" s="28" t="n"/>
    </row>
    <row r="1237">
      <c r="A1237" s="27" t="n"/>
      <c r="B1237" s="28" t="n"/>
      <c r="C1237" s="28" t="n"/>
      <c r="D1237" s="28" t="n"/>
      <c r="E1237" s="29" t="n"/>
      <c r="F1237" s="29" t="n"/>
      <c r="G1237" s="28" t="n"/>
      <c r="H1237" s="28" t="n"/>
      <c r="I1237" s="28" t="n"/>
      <c r="J1237" s="28" t="n"/>
      <c r="K1237" s="24">
        <f>IF(D1237="","",IFERROR(INDEX(Setup!$B$24:$B$59,MATCH(D1237,Setup!$A$24:$A$59,0)),"Check category"))</f>
        <v/>
      </c>
      <c r="L1237" s="25">
        <f>IF(A1237="","",DATE(YEAR(A1237),MONTH(A1237),1))</f>
        <v/>
      </c>
      <c r="M1237" s="26">
        <f>IF(AND(E1237="",F1237=""),"",N(E1237)-N(F1237))</f>
        <v/>
      </c>
      <c r="N1237" s="28" t="n"/>
    </row>
    <row r="1238">
      <c r="A1238" s="27" t="n"/>
      <c r="B1238" s="28" t="n"/>
      <c r="C1238" s="28" t="n"/>
      <c r="D1238" s="28" t="n"/>
      <c r="E1238" s="29" t="n"/>
      <c r="F1238" s="29" t="n"/>
      <c r="G1238" s="28" t="n"/>
      <c r="H1238" s="28" t="n"/>
      <c r="I1238" s="28" t="n"/>
      <c r="J1238" s="28" t="n"/>
      <c r="K1238" s="24">
        <f>IF(D1238="","",IFERROR(INDEX(Setup!$B$24:$B$59,MATCH(D1238,Setup!$A$24:$A$59,0)),"Check category"))</f>
        <v/>
      </c>
      <c r="L1238" s="25">
        <f>IF(A1238="","",DATE(YEAR(A1238),MONTH(A1238),1))</f>
        <v/>
      </c>
      <c r="M1238" s="26">
        <f>IF(AND(E1238="",F1238=""),"",N(E1238)-N(F1238))</f>
        <v/>
      </c>
      <c r="N1238" s="28" t="n"/>
    </row>
    <row r="1239">
      <c r="A1239" s="27" t="n"/>
      <c r="B1239" s="28" t="n"/>
      <c r="C1239" s="28" t="n"/>
      <c r="D1239" s="28" t="n"/>
      <c r="E1239" s="29" t="n"/>
      <c r="F1239" s="29" t="n"/>
      <c r="G1239" s="28" t="n"/>
      <c r="H1239" s="28" t="n"/>
      <c r="I1239" s="28" t="n"/>
      <c r="J1239" s="28" t="n"/>
      <c r="K1239" s="24">
        <f>IF(D1239="","",IFERROR(INDEX(Setup!$B$24:$B$59,MATCH(D1239,Setup!$A$24:$A$59,0)),"Check category"))</f>
        <v/>
      </c>
      <c r="L1239" s="25">
        <f>IF(A1239="","",DATE(YEAR(A1239),MONTH(A1239),1))</f>
        <v/>
      </c>
      <c r="M1239" s="26">
        <f>IF(AND(E1239="",F1239=""),"",N(E1239)-N(F1239))</f>
        <v/>
      </c>
      <c r="N1239" s="28" t="n"/>
    </row>
    <row r="1240">
      <c r="A1240" s="27" t="n"/>
      <c r="B1240" s="28" t="n"/>
      <c r="C1240" s="28" t="n"/>
      <c r="D1240" s="28" t="n"/>
      <c r="E1240" s="29" t="n"/>
      <c r="F1240" s="29" t="n"/>
      <c r="G1240" s="28" t="n"/>
      <c r="H1240" s="28" t="n"/>
      <c r="I1240" s="28" t="n"/>
      <c r="J1240" s="28" t="n"/>
      <c r="K1240" s="24">
        <f>IF(D1240="","",IFERROR(INDEX(Setup!$B$24:$B$59,MATCH(D1240,Setup!$A$24:$A$59,0)),"Check category"))</f>
        <v/>
      </c>
      <c r="L1240" s="25">
        <f>IF(A1240="","",DATE(YEAR(A1240),MONTH(A1240),1))</f>
        <v/>
      </c>
      <c r="M1240" s="26">
        <f>IF(AND(E1240="",F1240=""),"",N(E1240)-N(F1240))</f>
        <v/>
      </c>
      <c r="N1240" s="28" t="n"/>
    </row>
    <row r="1241">
      <c r="A1241" s="27" t="n"/>
      <c r="B1241" s="28" t="n"/>
      <c r="C1241" s="28" t="n"/>
      <c r="D1241" s="28" t="n"/>
      <c r="E1241" s="29" t="n"/>
      <c r="F1241" s="29" t="n"/>
      <c r="G1241" s="28" t="n"/>
      <c r="H1241" s="28" t="n"/>
      <c r="I1241" s="28" t="n"/>
      <c r="J1241" s="28" t="n"/>
      <c r="K1241" s="24">
        <f>IF(D1241="","",IFERROR(INDEX(Setup!$B$24:$B$59,MATCH(D1241,Setup!$A$24:$A$59,0)),"Check category"))</f>
        <v/>
      </c>
      <c r="L1241" s="25">
        <f>IF(A1241="","",DATE(YEAR(A1241),MONTH(A1241),1))</f>
        <v/>
      </c>
      <c r="M1241" s="26">
        <f>IF(AND(E1241="",F1241=""),"",N(E1241)-N(F1241))</f>
        <v/>
      </c>
      <c r="N1241" s="28" t="n"/>
    </row>
    <row r="1242">
      <c r="A1242" s="27" t="n"/>
      <c r="B1242" s="28" t="n"/>
      <c r="C1242" s="28" t="n"/>
      <c r="D1242" s="28" t="n"/>
      <c r="E1242" s="29" t="n"/>
      <c r="F1242" s="29" t="n"/>
      <c r="G1242" s="28" t="n"/>
      <c r="H1242" s="28" t="n"/>
      <c r="I1242" s="28" t="n"/>
      <c r="J1242" s="28" t="n"/>
      <c r="K1242" s="24">
        <f>IF(D1242="","",IFERROR(INDEX(Setup!$B$24:$B$59,MATCH(D1242,Setup!$A$24:$A$59,0)),"Check category"))</f>
        <v/>
      </c>
      <c r="L1242" s="25">
        <f>IF(A1242="","",DATE(YEAR(A1242),MONTH(A1242),1))</f>
        <v/>
      </c>
      <c r="M1242" s="26">
        <f>IF(AND(E1242="",F1242=""),"",N(E1242)-N(F1242))</f>
        <v/>
      </c>
      <c r="N1242" s="28" t="n"/>
    </row>
    <row r="1243">
      <c r="A1243" s="27" t="n"/>
      <c r="B1243" s="28" t="n"/>
      <c r="C1243" s="28" t="n"/>
      <c r="D1243" s="28" t="n"/>
      <c r="E1243" s="29" t="n"/>
      <c r="F1243" s="29" t="n"/>
      <c r="G1243" s="28" t="n"/>
      <c r="H1243" s="28" t="n"/>
      <c r="I1243" s="28" t="n"/>
      <c r="J1243" s="28" t="n"/>
      <c r="K1243" s="24">
        <f>IF(D1243="","",IFERROR(INDEX(Setup!$B$24:$B$59,MATCH(D1243,Setup!$A$24:$A$59,0)),"Check category"))</f>
        <v/>
      </c>
      <c r="L1243" s="25">
        <f>IF(A1243="","",DATE(YEAR(A1243),MONTH(A1243),1))</f>
        <v/>
      </c>
      <c r="M1243" s="26">
        <f>IF(AND(E1243="",F1243=""),"",N(E1243)-N(F1243))</f>
        <v/>
      </c>
      <c r="N1243" s="28" t="n"/>
    </row>
    <row r="1244">
      <c r="A1244" s="27" t="n"/>
      <c r="B1244" s="28" t="n"/>
      <c r="C1244" s="28" t="n"/>
      <c r="D1244" s="28" t="n"/>
      <c r="E1244" s="29" t="n"/>
      <c r="F1244" s="29" t="n"/>
      <c r="G1244" s="28" t="n"/>
      <c r="H1244" s="28" t="n"/>
      <c r="I1244" s="28" t="n"/>
      <c r="J1244" s="28" t="n"/>
      <c r="K1244" s="24">
        <f>IF(D1244="","",IFERROR(INDEX(Setup!$B$24:$B$59,MATCH(D1244,Setup!$A$24:$A$59,0)),"Check category"))</f>
        <v/>
      </c>
      <c r="L1244" s="25">
        <f>IF(A1244="","",DATE(YEAR(A1244),MONTH(A1244),1))</f>
        <v/>
      </c>
      <c r="M1244" s="26">
        <f>IF(AND(E1244="",F1244=""),"",N(E1244)-N(F1244))</f>
        <v/>
      </c>
      <c r="N1244" s="28" t="n"/>
    </row>
    <row r="1245">
      <c r="A1245" s="27" t="n"/>
      <c r="B1245" s="28" t="n"/>
      <c r="C1245" s="28" t="n"/>
      <c r="D1245" s="28" t="n"/>
      <c r="E1245" s="29" t="n"/>
      <c r="F1245" s="29" t="n"/>
      <c r="G1245" s="28" t="n"/>
      <c r="H1245" s="28" t="n"/>
      <c r="I1245" s="28" t="n"/>
      <c r="J1245" s="28" t="n"/>
      <c r="K1245" s="24">
        <f>IF(D1245="","",IFERROR(INDEX(Setup!$B$24:$B$59,MATCH(D1245,Setup!$A$24:$A$59,0)),"Check category"))</f>
        <v/>
      </c>
      <c r="L1245" s="25">
        <f>IF(A1245="","",DATE(YEAR(A1245),MONTH(A1245),1))</f>
        <v/>
      </c>
      <c r="M1245" s="26">
        <f>IF(AND(E1245="",F1245=""),"",N(E1245)-N(F1245))</f>
        <v/>
      </c>
      <c r="N1245" s="28" t="n"/>
    </row>
    <row r="1246">
      <c r="A1246" s="27" t="n"/>
      <c r="B1246" s="28" t="n"/>
      <c r="C1246" s="28" t="n"/>
      <c r="D1246" s="28" t="n"/>
      <c r="E1246" s="29" t="n"/>
      <c r="F1246" s="29" t="n"/>
      <c r="G1246" s="28" t="n"/>
      <c r="H1246" s="28" t="n"/>
      <c r="I1246" s="28" t="n"/>
      <c r="J1246" s="28" t="n"/>
      <c r="K1246" s="24">
        <f>IF(D1246="","",IFERROR(INDEX(Setup!$B$24:$B$59,MATCH(D1246,Setup!$A$24:$A$59,0)),"Check category"))</f>
        <v/>
      </c>
      <c r="L1246" s="25">
        <f>IF(A1246="","",DATE(YEAR(A1246),MONTH(A1246),1))</f>
        <v/>
      </c>
      <c r="M1246" s="26">
        <f>IF(AND(E1246="",F1246=""),"",N(E1246)-N(F1246))</f>
        <v/>
      </c>
      <c r="N1246" s="28" t="n"/>
    </row>
    <row r="1247">
      <c r="A1247" s="27" t="n"/>
      <c r="B1247" s="28" t="n"/>
      <c r="C1247" s="28" t="n"/>
      <c r="D1247" s="28" t="n"/>
      <c r="E1247" s="29" t="n"/>
      <c r="F1247" s="29" t="n"/>
      <c r="G1247" s="28" t="n"/>
      <c r="H1247" s="28" t="n"/>
      <c r="I1247" s="28" t="n"/>
      <c r="J1247" s="28" t="n"/>
      <c r="K1247" s="24">
        <f>IF(D1247="","",IFERROR(INDEX(Setup!$B$24:$B$59,MATCH(D1247,Setup!$A$24:$A$59,0)),"Check category"))</f>
        <v/>
      </c>
      <c r="L1247" s="25">
        <f>IF(A1247="","",DATE(YEAR(A1247),MONTH(A1247),1))</f>
        <v/>
      </c>
      <c r="M1247" s="26">
        <f>IF(AND(E1247="",F1247=""),"",N(E1247)-N(F1247))</f>
        <v/>
      </c>
      <c r="N1247" s="28" t="n"/>
    </row>
    <row r="1248">
      <c r="A1248" s="27" t="n"/>
      <c r="B1248" s="28" t="n"/>
      <c r="C1248" s="28" t="n"/>
      <c r="D1248" s="28" t="n"/>
      <c r="E1248" s="29" t="n"/>
      <c r="F1248" s="29" t="n"/>
      <c r="G1248" s="28" t="n"/>
      <c r="H1248" s="28" t="n"/>
      <c r="I1248" s="28" t="n"/>
      <c r="J1248" s="28" t="n"/>
      <c r="K1248" s="24">
        <f>IF(D1248="","",IFERROR(INDEX(Setup!$B$24:$B$59,MATCH(D1248,Setup!$A$24:$A$59,0)),"Check category"))</f>
        <v/>
      </c>
      <c r="L1248" s="25">
        <f>IF(A1248="","",DATE(YEAR(A1248),MONTH(A1248),1))</f>
        <v/>
      </c>
      <c r="M1248" s="26">
        <f>IF(AND(E1248="",F1248=""),"",N(E1248)-N(F1248))</f>
        <v/>
      </c>
      <c r="N1248" s="28" t="n"/>
    </row>
    <row r="1249">
      <c r="A1249" s="27" t="n"/>
      <c r="B1249" s="28" t="n"/>
      <c r="C1249" s="28" t="n"/>
      <c r="D1249" s="28" t="n"/>
      <c r="E1249" s="29" t="n"/>
      <c r="F1249" s="29" t="n"/>
      <c r="G1249" s="28" t="n"/>
      <c r="H1249" s="28" t="n"/>
      <c r="I1249" s="28" t="n"/>
      <c r="J1249" s="28" t="n"/>
      <c r="K1249" s="24">
        <f>IF(D1249="","",IFERROR(INDEX(Setup!$B$24:$B$59,MATCH(D1249,Setup!$A$24:$A$59,0)),"Check category"))</f>
        <v/>
      </c>
      <c r="L1249" s="25">
        <f>IF(A1249="","",DATE(YEAR(A1249),MONTH(A1249),1))</f>
        <v/>
      </c>
      <c r="M1249" s="26">
        <f>IF(AND(E1249="",F1249=""),"",N(E1249)-N(F1249))</f>
        <v/>
      </c>
      <c r="N1249" s="28" t="n"/>
    </row>
    <row r="1250">
      <c r="A1250" s="27" t="n"/>
      <c r="B1250" s="28" t="n"/>
      <c r="C1250" s="28" t="n"/>
      <c r="D1250" s="28" t="n"/>
      <c r="E1250" s="29" t="n"/>
      <c r="F1250" s="29" t="n"/>
      <c r="G1250" s="28" t="n"/>
      <c r="H1250" s="28" t="n"/>
      <c r="I1250" s="28" t="n"/>
      <c r="J1250" s="28" t="n"/>
      <c r="K1250" s="24">
        <f>IF(D1250="","",IFERROR(INDEX(Setup!$B$24:$B$59,MATCH(D1250,Setup!$A$24:$A$59,0)),"Check category"))</f>
        <v/>
      </c>
      <c r="L1250" s="25">
        <f>IF(A1250="","",DATE(YEAR(A1250),MONTH(A1250),1))</f>
        <v/>
      </c>
      <c r="M1250" s="26">
        <f>IF(AND(E1250="",F1250=""),"",N(E1250)-N(F1250))</f>
        <v/>
      </c>
      <c r="N1250" s="28" t="n"/>
    </row>
    <row r="1251">
      <c r="A1251" s="27" t="n"/>
      <c r="B1251" s="28" t="n"/>
      <c r="C1251" s="28" t="n"/>
      <c r="D1251" s="28" t="n"/>
      <c r="E1251" s="29" t="n"/>
      <c r="F1251" s="29" t="n"/>
      <c r="G1251" s="28" t="n"/>
      <c r="H1251" s="28" t="n"/>
      <c r="I1251" s="28" t="n"/>
      <c r="J1251" s="28" t="n"/>
      <c r="K1251" s="24">
        <f>IF(D1251="","",IFERROR(INDEX(Setup!$B$24:$B$59,MATCH(D1251,Setup!$A$24:$A$59,0)),"Check category"))</f>
        <v/>
      </c>
      <c r="L1251" s="25">
        <f>IF(A1251="","",DATE(YEAR(A1251),MONTH(A1251),1))</f>
        <v/>
      </c>
      <c r="M1251" s="26">
        <f>IF(AND(E1251="",F1251=""),"",N(E1251)-N(F1251))</f>
        <v/>
      </c>
      <c r="N1251" s="28" t="n"/>
    </row>
    <row r="1252">
      <c r="A1252" s="27" t="n"/>
      <c r="B1252" s="28" t="n"/>
      <c r="C1252" s="28" t="n"/>
      <c r="D1252" s="28" t="n"/>
      <c r="E1252" s="29" t="n"/>
      <c r="F1252" s="29" t="n"/>
      <c r="G1252" s="28" t="n"/>
      <c r="H1252" s="28" t="n"/>
      <c r="I1252" s="28" t="n"/>
      <c r="J1252" s="28" t="n"/>
      <c r="K1252" s="24">
        <f>IF(D1252="","",IFERROR(INDEX(Setup!$B$24:$B$59,MATCH(D1252,Setup!$A$24:$A$59,0)),"Check category"))</f>
        <v/>
      </c>
      <c r="L1252" s="25">
        <f>IF(A1252="","",DATE(YEAR(A1252),MONTH(A1252),1))</f>
        <v/>
      </c>
      <c r="M1252" s="26">
        <f>IF(AND(E1252="",F1252=""),"",N(E1252)-N(F1252))</f>
        <v/>
      </c>
      <c r="N1252" s="28" t="n"/>
    </row>
    <row r="1253">
      <c r="A1253" s="27" t="n"/>
      <c r="B1253" s="28" t="n"/>
      <c r="C1253" s="28" t="n"/>
      <c r="D1253" s="28" t="n"/>
      <c r="E1253" s="29" t="n"/>
      <c r="F1253" s="29" t="n"/>
      <c r="G1253" s="28" t="n"/>
      <c r="H1253" s="28" t="n"/>
      <c r="I1253" s="28" t="n"/>
      <c r="J1253" s="28" t="n"/>
      <c r="K1253" s="24">
        <f>IF(D1253="","",IFERROR(INDEX(Setup!$B$24:$B$59,MATCH(D1253,Setup!$A$24:$A$59,0)),"Check category"))</f>
        <v/>
      </c>
      <c r="L1253" s="25">
        <f>IF(A1253="","",DATE(YEAR(A1253),MONTH(A1253),1))</f>
        <v/>
      </c>
      <c r="M1253" s="26">
        <f>IF(AND(E1253="",F1253=""),"",N(E1253)-N(F1253))</f>
        <v/>
      </c>
      <c r="N1253" s="28" t="n"/>
    </row>
    <row r="1254">
      <c r="A1254" s="27" t="n"/>
      <c r="B1254" s="28" t="n"/>
      <c r="C1254" s="28" t="n"/>
      <c r="D1254" s="28" t="n"/>
      <c r="E1254" s="29" t="n"/>
      <c r="F1254" s="29" t="n"/>
      <c r="G1254" s="28" t="n"/>
      <c r="H1254" s="28" t="n"/>
      <c r="I1254" s="28" t="n"/>
      <c r="J1254" s="28" t="n"/>
      <c r="K1254" s="24">
        <f>IF(D1254="","",IFERROR(INDEX(Setup!$B$24:$B$59,MATCH(D1254,Setup!$A$24:$A$59,0)),"Check category"))</f>
        <v/>
      </c>
      <c r="L1254" s="25">
        <f>IF(A1254="","",DATE(YEAR(A1254),MONTH(A1254),1))</f>
        <v/>
      </c>
      <c r="M1254" s="26">
        <f>IF(AND(E1254="",F1254=""),"",N(E1254)-N(F1254))</f>
        <v/>
      </c>
      <c r="N1254" s="28" t="n"/>
    </row>
    <row r="1255">
      <c r="A1255" s="27" t="n"/>
      <c r="B1255" s="28" t="n"/>
      <c r="C1255" s="28" t="n"/>
      <c r="D1255" s="28" t="n"/>
      <c r="E1255" s="29" t="n"/>
      <c r="F1255" s="29" t="n"/>
      <c r="G1255" s="28" t="n"/>
      <c r="H1255" s="28" t="n"/>
      <c r="I1255" s="28" t="n"/>
      <c r="J1255" s="28" t="n"/>
      <c r="K1255" s="24">
        <f>IF(D1255="","",IFERROR(INDEX(Setup!$B$24:$B$59,MATCH(D1255,Setup!$A$24:$A$59,0)),"Check category"))</f>
        <v/>
      </c>
      <c r="L1255" s="25">
        <f>IF(A1255="","",DATE(YEAR(A1255),MONTH(A1255),1))</f>
        <v/>
      </c>
      <c r="M1255" s="26">
        <f>IF(AND(E1255="",F1255=""),"",N(E1255)-N(F1255))</f>
        <v/>
      </c>
      <c r="N1255" s="28" t="n"/>
    </row>
    <row r="1256">
      <c r="A1256" s="27" t="n"/>
      <c r="B1256" s="28" t="n"/>
      <c r="C1256" s="28" t="n"/>
      <c r="D1256" s="28" t="n"/>
      <c r="E1256" s="29" t="n"/>
      <c r="F1256" s="29" t="n"/>
      <c r="G1256" s="28" t="n"/>
      <c r="H1256" s="28" t="n"/>
      <c r="I1256" s="28" t="n"/>
      <c r="J1256" s="28" t="n"/>
      <c r="K1256" s="24">
        <f>IF(D1256="","",IFERROR(INDEX(Setup!$B$24:$B$59,MATCH(D1256,Setup!$A$24:$A$59,0)),"Check category"))</f>
        <v/>
      </c>
      <c r="L1256" s="25">
        <f>IF(A1256="","",DATE(YEAR(A1256),MONTH(A1256),1))</f>
        <v/>
      </c>
      <c r="M1256" s="26">
        <f>IF(AND(E1256="",F1256=""),"",N(E1256)-N(F1256))</f>
        <v/>
      </c>
      <c r="N1256" s="28" t="n"/>
    </row>
    <row r="1257">
      <c r="A1257" s="27" t="n"/>
      <c r="B1257" s="28" t="n"/>
      <c r="C1257" s="28" t="n"/>
      <c r="D1257" s="28" t="n"/>
      <c r="E1257" s="29" t="n"/>
      <c r="F1257" s="29" t="n"/>
      <c r="G1257" s="28" t="n"/>
      <c r="H1257" s="28" t="n"/>
      <c r="I1257" s="28" t="n"/>
      <c r="J1257" s="28" t="n"/>
      <c r="K1257" s="24">
        <f>IF(D1257="","",IFERROR(INDEX(Setup!$B$24:$B$59,MATCH(D1257,Setup!$A$24:$A$59,0)),"Check category"))</f>
        <v/>
      </c>
      <c r="L1257" s="25">
        <f>IF(A1257="","",DATE(YEAR(A1257),MONTH(A1257),1))</f>
        <v/>
      </c>
      <c r="M1257" s="26">
        <f>IF(AND(E1257="",F1257=""),"",N(E1257)-N(F1257))</f>
        <v/>
      </c>
      <c r="N1257" s="28" t="n"/>
    </row>
    <row r="1258">
      <c r="A1258" s="27" t="n"/>
      <c r="B1258" s="28" t="n"/>
      <c r="C1258" s="28" t="n"/>
      <c r="D1258" s="28" t="n"/>
      <c r="E1258" s="29" t="n"/>
      <c r="F1258" s="29" t="n"/>
      <c r="G1258" s="28" t="n"/>
      <c r="H1258" s="28" t="n"/>
      <c r="I1258" s="28" t="n"/>
      <c r="J1258" s="28" t="n"/>
      <c r="K1258" s="24">
        <f>IF(D1258="","",IFERROR(INDEX(Setup!$B$24:$B$59,MATCH(D1258,Setup!$A$24:$A$59,0)),"Check category"))</f>
        <v/>
      </c>
      <c r="L1258" s="25">
        <f>IF(A1258="","",DATE(YEAR(A1258),MONTH(A1258),1))</f>
        <v/>
      </c>
      <c r="M1258" s="26">
        <f>IF(AND(E1258="",F1258=""),"",N(E1258)-N(F1258))</f>
        <v/>
      </c>
      <c r="N1258" s="28" t="n"/>
    </row>
    <row r="1259">
      <c r="A1259" s="27" t="n"/>
      <c r="B1259" s="28" t="n"/>
      <c r="C1259" s="28" t="n"/>
      <c r="D1259" s="28" t="n"/>
      <c r="E1259" s="29" t="n"/>
      <c r="F1259" s="29" t="n"/>
      <c r="G1259" s="28" t="n"/>
      <c r="H1259" s="28" t="n"/>
      <c r="I1259" s="28" t="n"/>
      <c r="J1259" s="28" t="n"/>
      <c r="K1259" s="24">
        <f>IF(D1259="","",IFERROR(INDEX(Setup!$B$24:$B$59,MATCH(D1259,Setup!$A$24:$A$59,0)),"Check category"))</f>
        <v/>
      </c>
      <c r="L1259" s="25">
        <f>IF(A1259="","",DATE(YEAR(A1259),MONTH(A1259),1))</f>
        <v/>
      </c>
      <c r="M1259" s="26">
        <f>IF(AND(E1259="",F1259=""),"",N(E1259)-N(F1259))</f>
        <v/>
      </c>
      <c r="N1259" s="28" t="n"/>
    </row>
    <row r="1260">
      <c r="A1260" s="27" t="n"/>
      <c r="B1260" s="28" t="n"/>
      <c r="C1260" s="28" t="n"/>
      <c r="D1260" s="28" t="n"/>
      <c r="E1260" s="29" t="n"/>
      <c r="F1260" s="29" t="n"/>
      <c r="G1260" s="28" t="n"/>
      <c r="H1260" s="28" t="n"/>
      <c r="I1260" s="28" t="n"/>
      <c r="J1260" s="28" t="n"/>
      <c r="K1260" s="24">
        <f>IF(D1260="","",IFERROR(INDEX(Setup!$B$24:$B$59,MATCH(D1260,Setup!$A$24:$A$59,0)),"Check category"))</f>
        <v/>
      </c>
      <c r="L1260" s="25">
        <f>IF(A1260="","",DATE(YEAR(A1260),MONTH(A1260),1))</f>
        <v/>
      </c>
      <c r="M1260" s="26">
        <f>IF(AND(E1260="",F1260=""),"",N(E1260)-N(F1260))</f>
        <v/>
      </c>
      <c r="N1260" s="28" t="n"/>
    </row>
    <row r="1261">
      <c r="A1261" s="27" t="n"/>
      <c r="B1261" s="28" t="n"/>
      <c r="C1261" s="28" t="n"/>
      <c r="D1261" s="28" t="n"/>
      <c r="E1261" s="29" t="n"/>
      <c r="F1261" s="29" t="n"/>
      <c r="G1261" s="28" t="n"/>
      <c r="H1261" s="28" t="n"/>
      <c r="I1261" s="28" t="n"/>
      <c r="J1261" s="28" t="n"/>
      <c r="K1261" s="24">
        <f>IF(D1261="","",IFERROR(INDEX(Setup!$B$24:$B$59,MATCH(D1261,Setup!$A$24:$A$59,0)),"Check category"))</f>
        <v/>
      </c>
      <c r="L1261" s="25">
        <f>IF(A1261="","",DATE(YEAR(A1261),MONTH(A1261),1))</f>
        <v/>
      </c>
      <c r="M1261" s="26">
        <f>IF(AND(E1261="",F1261=""),"",N(E1261)-N(F1261))</f>
        <v/>
      </c>
      <c r="N1261" s="28" t="n"/>
    </row>
    <row r="1262">
      <c r="A1262" s="27" t="n"/>
      <c r="B1262" s="28" t="n"/>
      <c r="C1262" s="28" t="n"/>
      <c r="D1262" s="28" t="n"/>
      <c r="E1262" s="29" t="n"/>
      <c r="F1262" s="29" t="n"/>
      <c r="G1262" s="28" t="n"/>
      <c r="H1262" s="28" t="n"/>
      <c r="I1262" s="28" t="n"/>
      <c r="J1262" s="28" t="n"/>
      <c r="K1262" s="24">
        <f>IF(D1262="","",IFERROR(INDEX(Setup!$B$24:$B$59,MATCH(D1262,Setup!$A$24:$A$59,0)),"Check category"))</f>
        <v/>
      </c>
      <c r="L1262" s="25">
        <f>IF(A1262="","",DATE(YEAR(A1262),MONTH(A1262),1))</f>
        <v/>
      </c>
      <c r="M1262" s="26">
        <f>IF(AND(E1262="",F1262=""),"",N(E1262)-N(F1262))</f>
        <v/>
      </c>
      <c r="N1262" s="28" t="n"/>
    </row>
    <row r="1263">
      <c r="A1263" s="27" t="n"/>
      <c r="B1263" s="28" t="n"/>
      <c r="C1263" s="28" t="n"/>
      <c r="D1263" s="28" t="n"/>
      <c r="E1263" s="29" t="n"/>
      <c r="F1263" s="29" t="n"/>
      <c r="G1263" s="28" t="n"/>
      <c r="H1263" s="28" t="n"/>
      <c r="I1263" s="28" t="n"/>
      <c r="J1263" s="28" t="n"/>
      <c r="K1263" s="24">
        <f>IF(D1263="","",IFERROR(INDEX(Setup!$B$24:$B$59,MATCH(D1263,Setup!$A$24:$A$59,0)),"Check category"))</f>
        <v/>
      </c>
      <c r="L1263" s="25">
        <f>IF(A1263="","",DATE(YEAR(A1263),MONTH(A1263),1))</f>
        <v/>
      </c>
      <c r="M1263" s="26">
        <f>IF(AND(E1263="",F1263=""),"",N(E1263)-N(F1263))</f>
        <v/>
      </c>
      <c r="N1263" s="28" t="n"/>
    </row>
    <row r="1264">
      <c r="A1264" s="27" t="n"/>
      <c r="B1264" s="28" t="n"/>
      <c r="C1264" s="28" t="n"/>
      <c r="D1264" s="28" t="n"/>
      <c r="E1264" s="29" t="n"/>
      <c r="F1264" s="29" t="n"/>
      <c r="G1264" s="28" t="n"/>
      <c r="H1264" s="28" t="n"/>
      <c r="I1264" s="28" t="n"/>
      <c r="J1264" s="28" t="n"/>
      <c r="K1264" s="24">
        <f>IF(D1264="","",IFERROR(INDEX(Setup!$B$24:$B$59,MATCH(D1264,Setup!$A$24:$A$59,0)),"Check category"))</f>
        <v/>
      </c>
      <c r="L1264" s="25">
        <f>IF(A1264="","",DATE(YEAR(A1264),MONTH(A1264),1))</f>
        <v/>
      </c>
      <c r="M1264" s="26">
        <f>IF(AND(E1264="",F1264=""),"",N(E1264)-N(F1264))</f>
        <v/>
      </c>
      <c r="N1264" s="28" t="n"/>
    </row>
    <row r="1265">
      <c r="A1265" s="27" t="n"/>
      <c r="B1265" s="28" t="n"/>
      <c r="C1265" s="28" t="n"/>
      <c r="D1265" s="28" t="n"/>
      <c r="E1265" s="29" t="n"/>
      <c r="F1265" s="29" t="n"/>
      <c r="G1265" s="28" t="n"/>
      <c r="H1265" s="28" t="n"/>
      <c r="I1265" s="28" t="n"/>
      <c r="J1265" s="28" t="n"/>
      <c r="K1265" s="24">
        <f>IF(D1265="","",IFERROR(INDEX(Setup!$B$24:$B$59,MATCH(D1265,Setup!$A$24:$A$59,0)),"Check category"))</f>
        <v/>
      </c>
      <c r="L1265" s="25">
        <f>IF(A1265="","",DATE(YEAR(A1265),MONTH(A1265),1))</f>
        <v/>
      </c>
      <c r="M1265" s="26">
        <f>IF(AND(E1265="",F1265=""),"",N(E1265)-N(F1265))</f>
        <v/>
      </c>
      <c r="N1265" s="28" t="n"/>
    </row>
    <row r="1266">
      <c r="A1266" s="27" t="n"/>
      <c r="B1266" s="28" t="n"/>
      <c r="C1266" s="28" t="n"/>
      <c r="D1266" s="28" t="n"/>
      <c r="E1266" s="29" t="n"/>
      <c r="F1266" s="29" t="n"/>
      <c r="G1266" s="28" t="n"/>
      <c r="H1266" s="28" t="n"/>
      <c r="I1266" s="28" t="n"/>
      <c r="J1266" s="28" t="n"/>
      <c r="K1266" s="24">
        <f>IF(D1266="","",IFERROR(INDEX(Setup!$B$24:$B$59,MATCH(D1266,Setup!$A$24:$A$59,0)),"Check category"))</f>
        <v/>
      </c>
      <c r="L1266" s="25">
        <f>IF(A1266="","",DATE(YEAR(A1266),MONTH(A1266),1))</f>
        <v/>
      </c>
      <c r="M1266" s="26">
        <f>IF(AND(E1266="",F1266=""),"",N(E1266)-N(F1266))</f>
        <v/>
      </c>
      <c r="N1266" s="28" t="n"/>
    </row>
    <row r="1267">
      <c r="A1267" s="27" t="n"/>
      <c r="B1267" s="28" t="n"/>
      <c r="C1267" s="28" t="n"/>
      <c r="D1267" s="28" t="n"/>
      <c r="E1267" s="29" t="n"/>
      <c r="F1267" s="29" t="n"/>
      <c r="G1267" s="28" t="n"/>
      <c r="H1267" s="28" t="n"/>
      <c r="I1267" s="28" t="n"/>
      <c r="J1267" s="28" t="n"/>
      <c r="K1267" s="24">
        <f>IF(D1267="","",IFERROR(INDEX(Setup!$B$24:$B$59,MATCH(D1267,Setup!$A$24:$A$59,0)),"Check category"))</f>
        <v/>
      </c>
      <c r="L1267" s="25">
        <f>IF(A1267="","",DATE(YEAR(A1267),MONTH(A1267),1))</f>
        <v/>
      </c>
      <c r="M1267" s="26">
        <f>IF(AND(E1267="",F1267=""),"",N(E1267)-N(F1267))</f>
        <v/>
      </c>
      <c r="N1267" s="28" t="n"/>
    </row>
    <row r="1268">
      <c r="A1268" s="27" t="n"/>
      <c r="B1268" s="28" t="n"/>
      <c r="C1268" s="28" t="n"/>
      <c r="D1268" s="28" t="n"/>
      <c r="E1268" s="29" t="n"/>
      <c r="F1268" s="29" t="n"/>
      <c r="G1268" s="28" t="n"/>
      <c r="H1268" s="28" t="n"/>
      <c r="I1268" s="28" t="n"/>
      <c r="J1268" s="28" t="n"/>
      <c r="K1268" s="24">
        <f>IF(D1268="","",IFERROR(INDEX(Setup!$B$24:$B$59,MATCH(D1268,Setup!$A$24:$A$59,0)),"Check category"))</f>
        <v/>
      </c>
      <c r="L1268" s="25">
        <f>IF(A1268="","",DATE(YEAR(A1268),MONTH(A1268),1))</f>
        <v/>
      </c>
      <c r="M1268" s="26">
        <f>IF(AND(E1268="",F1268=""),"",N(E1268)-N(F1268))</f>
        <v/>
      </c>
      <c r="N1268" s="28" t="n"/>
    </row>
    <row r="1269">
      <c r="A1269" s="27" t="n"/>
      <c r="B1269" s="28" t="n"/>
      <c r="C1269" s="28" t="n"/>
      <c r="D1269" s="28" t="n"/>
      <c r="E1269" s="29" t="n"/>
      <c r="F1269" s="29" t="n"/>
      <c r="G1269" s="28" t="n"/>
      <c r="H1269" s="28" t="n"/>
      <c r="I1269" s="28" t="n"/>
      <c r="J1269" s="28" t="n"/>
      <c r="K1269" s="24">
        <f>IF(D1269="","",IFERROR(INDEX(Setup!$B$24:$B$59,MATCH(D1269,Setup!$A$24:$A$59,0)),"Check category"))</f>
        <v/>
      </c>
      <c r="L1269" s="25">
        <f>IF(A1269="","",DATE(YEAR(A1269),MONTH(A1269),1))</f>
        <v/>
      </c>
      <c r="M1269" s="26">
        <f>IF(AND(E1269="",F1269=""),"",N(E1269)-N(F1269))</f>
        <v/>
      </c>
      <c r="N1269" s="28" t="n"/>
    </row>
    <row r="1270">
      <c r="A1270" s="27" t="n"/>
      <c r="B1270" s="28" t="n"/>
      <c r="C1270" s="28" t="n"/>
      <c r="D1270" s="28" t="n"/>
      <c r="E1270" s="29" t="n"/>
      <c r="F1270" s="29" t="n"/>
      <c r="G1270" s="28" t="n"/>
      <c r="H1270" s="28" t="n"/>
      <c r="I1270" s="28" t="n"/>
      <c r="J1270" s="28" t="n"/>
      <c r="K1270" s="24">
        <f>IF(D1270="","",IFERROR(INDEX(Setup!$B$24:$B$59,MATCH(D1270,Setup!$A$24:$A$59,0)),"Check category"))</f>
        <v/>
      </c>
      <c r="L1270" s="25">
        <f>IF(A1270="","",DATE(YEAR(A1270),MONTH(A1270),1))</f>
        <v/>
      </c>
      <c r="M1270" s="26">
        <f>IF(AND(E1270="",F1270=""),"",N(E1270)-N(F1270))</f>
        <v/>
      </c>
      <c r="N1270" s="28" t="n"/>
    </row>
    <row r="1271">
      <c r="A1271" s="27" t="n"/>
      <c r="B1271" s="28" t="n"/>
      <c r="C1271" s="28" t="n"/>
      <c r="D1271" s="28" t="n"/>
      <c r="E1271" s="29" t="n"/>
      <c r="F1271" s="29" t="n"/>
      <c r="G1271" s="28" t="n"/>
      <c r="H1271" s="28" t="n"/>
      <c r="I1271" s="28" t="n"/>
      <c r="J1271" s="28" t="n"/>
      <c r="K1271" s="24">
        <f>IF(D1271="","",IFERROR(INDEX(Setup!$B$24:$B$59,MATCH(D1271,Setup!$A$24:$A$59,0)),"Check category"))</f>
        <v/>
      </c>
      <c r="L1271" s="25">
        <f>IF(A1271="","",DATE(YEAR(A1271),MONTH(A1271),1))</f>
        <v/>
      </c>
      <c r="M1271" s="26">
        <f>IF(AND(E1271="",F1271=""),"",N(E1271)-N(F1271))</f>
        <v/>
      </c>
      <c r="N1271" s="28" t="n"/>
    </row>
    <row r="1272">
      <c r="A1272" s="27" t="n"/>
      <c r="B1272" s="28" t="n"/>
      <c r="C1272" s="28" t="n"/>
      <c r="D1272" s="28" t="n"/>
      <c r="E1272" s="29" t="n"/>
      <c r="F1272" s="29" t="n"/>
      <c r="G1272" s="28" t="n"/>
      <c r="H1272" s="28" t="n"/>
      <c r="I1272" s="28" t="n"/>
      <c r="J1272" s="28" t="n"/>
      <c r="K1272" s="24">
        <f>IF(D1272="","",IFERROR(INDEX(Setup!$B$24:$B$59,MATCH(D1272,Setup!$A$24:$A$59,0)),"Check category"))</f>
        <v/>
      </c>
      <c r="L1272" s="25">
        <f>IF(A1272="","",DATE(YEAR(A1272),MONTH(A1272),1))</f>
        <v/>
      </c>
      <c r="M1272" s="26">
        <f>IF(AND(E1272="",F1272=""),"",N(E1272)-N(F1272))</f>
        <v/>
      </c>
      <c r="N1272" s="28" t="n"/>
    </row>
    <row r="1273">
      <c r="A1273" s="27" t="n"/>
      <c r="B1273" s="28" t="n"/>
      <c r="C1273" s="28" t="n"/>
      <c r="D1273" s="28" t="n"/>
      <c r="E1273" s="29" t="n"/>
      <c r="F1273" s="29" t="n"/>
      <c r="G1273" s="28" t="n"/>
      <c r="H1273" s="28" t="n"/>
      <c r="I1273" s="28" t="n"/>
      <c r="J1273" s="28" t="n"/>
      <c r="K1273" s="24">
        <f>IF(D1273="","",IFERROR(INDEX(Setup!$B$24:$B$59,MATCH(D1273,Setup!$A$24:$A$59,0)),"Check category"))</f>
        <v/>
      </c>
      <c r="L1273" s="25">
        <f>IF(A1273="","",DATE(YEAR(A1273),MONTH(A1273),1))</f>
        <v/>
      </c>
      <c r="M1273" s="26">
        <f>IF(AND(E1273="",F1273=""),"",N(E1273)-N(F1273))</f>
        <v/>
      </c>
      <c r="N1273" s="28" t="n"/>
    </row>
    <row r="1274">
      <c r="A1274" s="27" t="n"/>
      <c r="B1274" s="28" t="n"/>
      <c r="C1274" s="28" t="n"/>
      <c r="D1274" s="28" t="n"/>
      <c r="E1274" s="29" t="n"/>
      <c r="F1274" s="29" t="n"/>
      <c r="G1274" s="28" t="n"/>
      <c r="H1274" s="28" t="n"/>
      <c r="I1274" s="28" t="n"/>
      <c r="J1274" s="28" t="n"/>
      <c r="K1274" s="24">
        <f>IF(D1274="","",IFERROR(INDEX(Setup!$B$24:$B$59,MATCH(D1274,Setup!$A$24:$A$59,0)),"Check category"))</f>
        <v/>
      </c>
      <c r="L1274" s="25">
        <f>IF(A1274="","",DATE(YEAR(A1274),MONTH(A1274),1))</f>
        <v/>
      </c>
      <c r="M1274" s="26">
        <f>IF(AND(E1274="",F1274=""),"",N(E1274)-N(F1274))</f>
        <v/>
      </c>
      <c r="N1274" s="28" t="n"/>
    </row>
    <row r="1275">
      <c r="A1275" s="27" t="n"/>
      <c r="B1275" s="28" t="n"/>
      <c r="C1275" s="28" t="n"/>
      <c r="D1275" s="28" t="n"/>
      <c r="E1275" s="29" t="n"/>
      <c r="F1275" s="29" t="n"/>
      <c r="G1275" s="28" t="n"/>
      <c r="H1275" s="28" t="n"/>
      <c r="I1275" s="28" t="n"/>
      <c r="J1275" s="28" t="n"/>
      <c r="K1275" s="24">
        <f>IF(D1275="","",IFERROR(INDEX(Setup!$B$24:$B$59,MATCH(D1275,Setup!$A$24:$A$59,0)),"Check category"))</f>
        <v/>
      </c>
      <c r="L1275" s="25">
        <f>IF(A1275="","",DATE(YEAR(A1275),MONTH(A1275),1))</f>
        <v/>
      </c>
      <c r="M1275" s="26">
        <f>IF(AND(E1275="",F1275=""),"",N(E1275)-N(F1275))</f>
        <v/>
      </c>
      <c r="N1275" s="28" t="n"/>
    </row>
    <row r="1276">
      <c r="A1276" s="27" t="n"/>
      <c r="B1276" s="28" t="n"/>
      <c r="C1276" s="28" t="n"/>
      <c r="D1276" s="28" t="n"/>
      <c r="E1276" s="29" t="n"/>
      <c r="F1276" s="29" t="n"/>
      <c r="G1276" s="28" t="n"/>
      <c r="H1276" s="28" t="n"/>
      <c r="I1276" s="28" t="n"/>
      <c r="J1276" s="28" t="n"/>
      <c r="K1276" s="24">
        <f>IF(D1276="","",IFERROR(INDEX(Setup!$B$24:$B$59,MATCH(D1276,Setup!$A$24:$A$59,0)),"Check category"))</f>
        <v/>
      </c>
      <c r="L1276" s="25">
        <f>IF(A1276="","",DATE(YEAR(A1276),MONTH(A1276),1))</f>
        <v/>
      </c>
      <c r="M1276" s="26">
        <f>IF(AND(E1276="",F1276=""),"",N(E1276)-N(F1276))</f>
        <v/>
      </c>
      <c r="N1276" s="28" t="n"/>
    </row>
    <row r="1277">
      <c r="A1277" s="27" t="n"/>
      <c r="B1277" s="28" t="n"/>
      <c r="C1277" s="28" t="n"/>
      <c r="D1277" s="28" t="n"/>
      <c r="E1277" s="29" t="n"/>
      <c r="F1277" s="29" t="n"/>
      <c r="G1277" s="28" t="n"/>
      <c r="H1277" s="28" t="n"/>
      <c r="I1277" s="28" t="n"/>
      <c r="J1277" s="28" t="n"/>
      <c r="K1277" s="24">
        <f>IF(D1277="","",IFERROR(INDEX(Setup!$B$24:$B$59,MATCH(D1277,Setup!$A$24:$A$59,0)),"Check category"))</f>
        <v/>
      </c>
      <c r="L1277" s="25">
        <f>IF(A1277="","",DATE(YEAR(A1277),MONTH(A1277),1))</f>
        <v/>
      </c>
      <c r="M1277" s="26">
        <f>IF(AND(E1277="",F1277=""),"",N(E1277)-N(F1277))</f>
        <v/>
      </c>
      <c r="N1277" s="28" t="n"/>
    </row>
    <row r="1278">
      <c r="A1278" s="27" t="n"/>
      <c r="B1278" s="28" t="n"/>
      <c r="C1278" s="28" t="n"/>
      <c r="D1278" s="28" t="n"/>
      <c r="E1278" s="29" t="n"/>
      <c r="F1278" s="29" t="n"/>
      <c r="G1278" s="28" t="n"/>
      <c r="H1278" s="28" t="n"/>
      <c r="I1278" s="28" t="n"/>
      <c r="J1278" s="28" t="n"/>
      <c r="K1278" s="24">
        <f>IF(D1278="","",IFERROR(INDEX(Setup!$B$24:$B$59,MATCH(D1278,Setup!$A$24:$A$59,0)),"Check category"))</f>
        <v/>
      </c>
      <c r="L1278" s="25">
        <f>IF(A1278="","",DATE(YEAR(A1278),MONTH(A1278),1))</f>
        <v/>
      </c>
      <c r="M1278" s="26">
        <f>IF(AND(E1278="",F1278=""),"",N(E1278)-N(F1278))</f>
        <v/>
      </c>
      <c r="N1278" s="28" t="n"/>
    </row>
    <row r="1279">
      <c r="A1279" s="27" t="n"/>
      <c r="B1279" s="28" t="n"/>
      <c r="C1279" s="28" t="n"/>
      <c r="D1279" s="28" t="n"/>
      <c r="E1279" s="29" t="n"/>
      <c r="F1279" s="29" t="n"/>
      <c r="G1279" s="28" t="n"/>
      <c r="H1279" s="28" t="n"/>
      <c r="I1279" s="28" t="n"/>
      <c r="J1279" s="28" t="n"/>
      <c r="K1279" s="24">
        <f>IF(D1279="","",IFERROR(INDEX(Setup!$B$24:$B$59,MATCH(D1279,Setup!$A$24:$A$59,0)),"Check category"))</f>
        <v/>
      </c>
      <c r="L1279" s="25">
        <f>IF(A1279="","",DATE(YEAR(A1279),MONTH(A1279),1))</f>
        <v/>
      </c>
      <c r="M1279" s="26">
        <f>IF(AND(E1279="",F1279=""),"",N(E1279)-N(F1279))</f>
        <v/>
      </c>
      <c r="N1279" s="28" t="n"/>
    </row>
    <row r="1280">
      <c r="A1280" s="27" t="n"/>
      <c r="B1280" s="28" t="n"/>
      <c r="C1280" s="28" t="n"/>
      <c r="D1280" s="28" t="n"/>
      <c r="E1280" s="29" t="n"/>
      <c r="F1280" s="29" t="n"/>
      <c r="G1280" s="28" t="n"/>
      <c r="H1280" s="28" t="n"/>
      <c r="I1280" s="28" t="n"/>
      <c r="J1280" s="28" t="n"/>
      <c r="K1280" s="24">
        <f>IF(D1280="","",IFERROR(INDEX(Setup!$B$24:$B$59,MATCH(D1280,Setup!$A$24:$A$59,0)),"Check category"))</f>
        <v/>
      </c>
      <c r="L1280" s="25">
        <f>IF(A1280="","",DATE(YEAR(A1280),MONTH(A1280),1))</f>
        <v/>
      </c>
      <c r="M1280" s="26">
        <f>IF(AND(E1280="",F1280=""),"",N(E1280)-N(F1280))</f>
        <v/>
      </c>
      <c r="N1280" s="28" t="n"/>
    </row>
    <row r="1281">
      <c r="A1281" s="27" t="n"/>
      <c r="B1281" s="28" t="n"/>
      <c r="C1281" s="28" t="n"/>
      <c r="D1281" s="28" t="n"/>
      <c r="E1281" s="29" t="n"/>
      <c r="F1281" s="29" t="n"/>
      <c r="G1281" s="28" t="n"/>
      <c r="H1281" s="28" t="n"/>
      <c r="I1281" s="28" t="n"/>
      <c r="J1281" s="28" t="n"/>
      <c r="K1281" s="24">
        <f>IF(D1281="","",IFERROR(INDEX(Setup!$B$24:$B$59,MATCH(D1281,Setup!$A$24:$A$59,0)),"Check category"))</f>
        <v/>
      </c>
      <c r="L1281" s="25">
        <f>IF(A1281="","",DATE(YEAR(A1281),MONTH(A1281),1))</f>
        <v/>
      </c>
      <c r="M1281" s="26">
        <f>IF(AND(E1281="",F1281=""),"",N(E1281)-N(F1281))</f>
        <v/>
      </c>
      <c r="N1281" s="28" t="n"/>
    </row>
    <row r="1282">
      <c r="A1282" s="27" t="n"/>
      <c r="B1282" s="28" t="n"/>
      <c r="C1282" s="28" t="n"/>
      <c r="D1282" s="28" t="n"/>
      <c r="E1282" s="29" t="n"/>
      <c r="F1282" s="29" t="n"/>
      <c r="G1282" s="28" t="n"/>
      <c r="H1282" s="28" t="n"/>
      <c r="I1282" s="28" t="n"/>
      <c r="J1282" s="28" t="n"/>
      <c r="K1282" s="24">
        <f>IF(D1282="","",IFERROR(INDEX(Setup!$B$24:$B$59,MATCH(D1282,Setup!$A$24:$A$59,0)),"Check category"))</f>
        <v/>
      </c>
      <c r="L1282" s="25">
        <f>IF(A1282="","",DATE(YEAR(A1282),MONTH(A1282),1))</f>
        <v/>
      </c>
      <c r="M1282" s="26">
        <f>IF(AND(E1282="",F1282=""),"",N(E1282)-N(F1282))</f>
        <v/>
      </c>
      <c r="N1282" s="28" t="n"/>
    </row>
    <row r="1283">
      <c r="A1283" s="27" t="n"/>
      <c r="B1283" s="28" t="n"/>
      <c r="C1283" s="28" t="n"/>
      <c r="D1283" s="28" t="n"/>
      <c r="E1283" s="29" t="n"/>
      <c r="F1283" s="29" t="n"/>
      <c r="G1283" s="28" t="n"/>
      <c r="H1283" s="28" t="n"/>
      <c r="I1283" s="28" t="n"/>
      <c r="J1283" s="28" t="n"/>
      <c r="K1283" s="24">
        <f>IF(D1283="","",IFERROR(INDEX(Setup!$B$24:$B$59,MATCH(D1283,Setup!$A$24:$A$59,0)),"Check category"))</f>
        <v/>
      </c>
      <c r="L1283" s="25">
        <f>IF(A1283="","",DATE(YEAR(A1283),MONTH(A1283),1))</f>
        <v/>
      </c>
      <c r="M1283" s="26">
        <f>IF(AND(E1283="",F1283=""),"",N(E1283)-N(F1283))</f>
        <v/>
      </c>
      <c r="N1283" s="28" t="n"/>
    </row>
    <row r="1284">
      <c r="A1284" s="27" t="n"/>
      <c r="B1284" s="28" t="n"/>
      <c r="C1284" s="28" t="n"/>
      <c r="D1284" s="28" t="n"/>
      <c r="E1284" s="29" t="n"/>
      <c r="F1284" s="29" t="n"/>
      <c r="G1284" s="28" t="n"/>
      <c r="H1284" s="28" t="n"/>
      <c r="I1284" s="28" t="n"/>
      <c r="J1284" s="28" t="n"/>
      <c r="K1284" s="24">
        <f>IF(D1284="","",IFERROR(INDEX(Setup!$B$24:$B$59,MATCH(D1284,Setup!$A$24:$A$59,0)),"Check category"))</f>
        <v/>
      </c>
      <c r="L1284" s="25">
        <f>IF(A1284="","",DATE(YEAR(A1284),MONTH(A1284),1))</f>
        <v/>
      </c>
      <c r="M1284" s="26">
        <f>IF(AND(E1284="",F1284=""),"",N(E1284)-N(F1284))</f>
        <v/>
      </c>
      <c r="N1284" s="28" t="n"/>
    </row>
    <row r="1285">
      <c r="A1285" s="27" t="n"/>
      <c r="B1285" s="28" t="n"/>
      <c r="C1285" s="28" t="n"/>
      <c r="D1285" s="28" t="n"/>
      <c r="E1285" s="29" t="n"/>
      <c r="F1285" s="29" t="n"/>
      <c r="G1285" s="28" t="n"/>
      <c r="H1285" s="28" t="n"/>
      <c r="I1285" s="28" t="n"/>
      <c r="J1285" s="28" t="n"/>
      <c r="K1285" s="24">
        <f>IF(D1285="","",IFERROR(INDEX(Setup!$B$24:$B$59,MATCH(D1285,Setup!$A$24:$A$59,0)),"Check category"))</f>
        <v/>
      </c>
      <c r="L1285" s="25">
        <f>IF(A1285="","",DATE(YEAR(A1285),MONTH(A1285),1))</f>
        <v/>
      </c>
      <c r="M1285" s="26">
        <f>IF(AND(E1285="",F1285=""),"",N(E1285)-N(F1285))</f>
        <v/>
      </c>
      <c r="N1285" s="28" t="n"/>
    </row>
    <row r="1286">
      <c r="A1286" s="27" t="n"/>
      <c r="B1286" s="28" t="n"/>
      <c r="C1286" s="28" t="n"/>
      <c r="D1286" s="28" t="n"/>
      <c r="E1286" s="29" t="n"/>
      <c r="F1286" s="29" t="n"/>
      <c r="G1286" s="28" t="n"/>
      <c r="H1286" s="28" t="n"/>
      <c r="I1286" s="28" t="n"/>
      <c r="J1286" s="28" t="n"/>
      <c r="K1286" s="24">
        <f>IF(D1286="","",IFERROR(INDEX(Setup!$B$24:$B$59,MATCH(D1286,Setup!$A$24:$A$59,0)),"Check category"))</f>
        <v/>
      </c>
      <c r="L1286" s="25">
        <f>IF(A1286="","",DATE(YEAR(A1286),MONTH(A1286),1))</f>
        <v/>
      </c>
      <c r="M1286" s="26">
        <f>IF(AND(E1286="",F1286=""),"",N(E1286)-N(F1286))</f>
        <v/>
      </c>
      <c r="N1286" s="28" t="n"/>
    </row>
    <row r="1287">
      <c r="A1287" s="27" t="n"/>
      <c r="B1287" s="28" t="n"/>
      <c r="C1287" s="28" t="n"/>
      <c r="D1287" s="28" t="n"/>
      <c r="E1287" s="29" t="n"/>
      <c r="F1287" s="29" t="n"/>
      <c r="G1287" s="28" t="n"/>
      <c r="H1287" s="28" t="n"/>
      <c r="I1287" s="28" t="n"/>
      <c r="J1287" s="28" t="n"/>
      <c r="K1287" s="24">
        <f>IF(D1287="","",IFERROR(INDEX(Setup!$B$24:$B$59,MATCH(D1287,Setup!$A$24:$A$59,0)),"Check category"))</f>
        <v/>
      </c>
      <c r="L1287" s="25">
        <f>IF(A1287="","",DATE(YEAR(A1287),MONTH(A1287),1))</f>
        <v/>
      </c>
      <c r="M1287" s="26">
        <f>IF(AND(E1287="",F1287=""),"",N(E1287)-N(F1287))</f>
        <v/>
      </c>
      <c r="N1287" s="28" t="n"/>
    </row>
    <row r="1288">
      <c r="A1288" s="27" t="n"/>
      <c r="B1288" s="28" t="n"/>
      <c r="C1288" s="28" t="n"/>
      <c r="D1288" s="28" t="n"/>
      <c r="E1288" s="29" t="n"/>
      <c r="F1288" s="29" t="n"/>
      <c r="G1288" s="28" t="n"/>
      <c r="H1288" s="28" t="n"/>
      <c r="I1288" s="28" t="n"/>
      <c r="J1288" s="28" t="n"/>
      <c r="K1288" s="24">
        <f>IF(D1288="","",IFERROR(INDEX(Setup!$B$24:$B$59,MATCH(D1288,Setup!$A$24:$A$59,0)),"Check category"))</f>
        <v/>
      </c>
      <c r="L1288" s="25">
        <f>IF(A1288="","",DATE(YEAR(A1288),MONTH(A1288),1))</f>
        <v/>
      </c>
      <c r="M1288" s="26">
        <f>IF(AND(E1288="",F1288=""),"",N(E1288)-N(F1288))</f>
        <v/>
      </c>
      <c r="N1288" s="28" t="n"/>
    </row>
    <row r="1289">
      <c r="A1289" s="27" t="n"/>
      <c r="B1289" s="28" t="n"/>
      <c r="C1289" s="28" t="n"/>
      <c r="D1289" s="28" t="n"/>
      <c r="E1289" s="29" t="n"/>
      <c r="F1289" s="29" t="n"/>
      <c r="G1289" s="28" t="n"/>
      <c r="H1289" s="28" t="n"/>
      <c r="I1289" s="28" t="n"/>
      <c r="J1289" s="28" t="n"/>
      <c r="K1289" s="24">
        <f>IF(D1289="","",IFERROR(INDEX(Setup!$B$24:$B$59,MATCH(D1289,Setup!$A$24:$A$59,0)),"Check category"))</f>
        <v/>
      </c>
      <c r="L1289" s="25">
        <f>IF(A1289="","",DATE(YEAR(A1289),MONTH(A1289),1))</f>
        <v/>
      </c>
      <c r="M1289" s="26">
        <f>IF(AND(E1289="",F1289=""),"",N(E1289)-N(F1289))</f>
        <v/>
      </c>
      <c r="N1289" s="28" t="n"/>
    </row>
    <row r="1290">
      <c r="A1290" s="27" t="n"/>
      <c r="B1290" s="28" t="n"/>
      <c r="C1290" s="28" t="n"/>
      <c r="D1290" s="28" t="n"/>
      <c r="E1290" s="29" t="n"/>
      <c r="F1290" s="29" t="n"/>
      <c r="G1290" s="28" t="n"/>
      <c r="H1290" s="28" t="n"/>
      <c r="I1290" s="28" t="n"/>
      <c r="J1290" s="28" t="n"/>
      <c r="K1290" s="24">
        <f>IF(D1290="","",IFERROR(INDEX(Setup!$B$24:$B$59,MATCH(D1290,Setup!$A$24:$A$59,0)),"Check category"))</f>
        <v/>
      </c>
      <c r="L1290" s="25">
        <f>IF(A1290="","",DATE(YEAR(A1290),MONTH(A1290),1))</f>
        <v/>
      </c>
      <c r="M1290" s="26">
        <f>IF(AND(E1290="",F1290=""),"",N(E1290)-N(F1290))</f>
        <v/>
      </c>
      <c r="N1290" s="28" t="n"/>
    </row>
    <row r="1291">
      <c r="A1291" s="27" t="n"/>
      <c r="B1291" s="28" t="n"/>
      <c r="C1291" s="28" t="n"/>
      <c r="D1291" s="28" t="n"/>
      <c r="E1291" s="29" t="n"/>
      <c r="F1291" s="29" t="n"/>
      <c r="G1291" s="28" t="n"/>
      <c r="H1291" s="28" t="n"/>
      <c r="I1291" s="28" t="n"/>
      <c r="J1291" s="28" t="n"/>
      <c r="K1291" s="24">
        <f>IF(D1291="","",IFERROR(INDEX(Setup!$B$24:$B$59,MATCH(D1291,Setup!$A$24:$A$59,0)),"Check category"))</f>
        <v/>
      </c>
      <c r="L1291" s="25">
        <f>IF(A1291="","",DATE(YEAR(A1291),MONTH(A1291),1))</f>
        <v/>
      </c>
      <c r="M1291" s="26">
        <f>IF(AND(E1291="",F1291=""),"",N(E1291)-N(F1291))</f>
        <v/>
      </c>
      <c r="N1291" s="28" t="n"/>
    </row>
    <row r="1292">
      <c r="A1292" s="27" t="n"/>
      <c r="B1292" s="28" t="n"/>
      <c r="C1292" s="28" t="n"/>
      <c r="D1292" s="28" t="n"/>
      <c r="E1292" s="29" t="n"/>
      <c r="F1292" s="29" t="n"/>
      <c r="G1292" s="28" t="n"/>
      <c r="H1292" s="28" t="n"/>
      <c r="I1292" s="28" t="n"/>
      <c r="J1292" s="28" t="n"/>
      <c r="K1292" s="24">
        <f>IF(D1292="","",IFERROR(INDEX(Setup!$B$24:$B$59,MATCH(D1292,Setup!$A$24:$A$59,0)),"Check category"))</f>
        <v/>
      </c>
      <c r="L1292" s="25">
        <f>IF(A1292="","",DATE(YEAR(A1292),MONTH(A1292),1))</f>
        <v/>
      </c>
      <c r="M1292" s="26">
        <f>IF(AND(E1292="",F1292=""),"",N(E1292)-N(F1292))</f>
        <v/>
      </c>
      <c r="N1292" s="28" t="n"/>
    </row>
    <row r="1293">
      <c r="A1293" s="27" t="n"/>
      <c r="B1293" s="28" t="n"/>
      <c r="C1293" s="28" t="n"/>
      <c r="D1293" s="28" t="n"/>
      <c r="E1293" s="29" t="n"/>
      <c r="F1293" s="29" t="n"/>
      <c r="G1293" s="28" t="n"/>
      <c r="H1293" s="28" t="n"/>
      <c r="I1293" s="28" t="n"/>
      <c r="J1293" s="28" t="n"/>
      <c r="K1293" s="24">
        <f>IF(D1293="","",IFERROR(INDEX(Setup!$B$24:$B$59,MATCH(D1293,Setup!$A$24:$A$59,0)),"Check category"))</f>
        <v/>
      </c>
      <c r="L1293" s="25">
        <f>IF(A1293="","",DATE(YEAR(A1293),MONTH(A1293),1))</f>
        <v/>
      </c>
      <c r="M1293" s="26">
        <f>IF(AND(E1293="",F1293=""),"",N(E1293)-N(F1293))</f>
        <v/>
      </c>
      <c r="N1293" s="28" t="n"/>
    </row>
    <row r="1294">
      <c r="A1294" s="27" t="n"/>
      <c r="B1294" s="28" t="n"/>
      <c r="C1294" s="28" t="n"/>
      <c r="D1294" s="28" t="n"/>
      <c r="E1294" s="29" t="n"/>
      <c r="F1294" s="29" t="n"/>
      <c r="G1294" s="28" t="n"/>
      <c r="H1294" s="28" t="n"/>
      <c r="I1294" s="28" t="n"/>
      <c r="J1294" s="28" t="n"/>
      <c r="K1294" s="24">
        <f>IF(D1294="","",IFERROR(INDEX(Setup!$B$24:$B$59,MATCH(D1294,Setup!$A$24:$A$59,0)),"Check category"))</f>
        <v/>
      </c>
      <c r="L1294" s="25">
        <f>IF(A1294="","",DATE(YEAR(A1294),MONTH(A1294),1))</f>
        <v/>
      </c>
      <c r="M1294" s="26">
        <f>IF(AND(E1294="",F1294=""),"",N(E1294)-N(F1294))</f>
        <v/>
      </c>
      <c r="N1294" s="28" t="n"/>
    </row>
    <row r="1295">
      <c r="A1295" s="27" t="n"/>
      <c r="B1295" s="28" t="n"/>
      <c r="C1295" s="28" t="n"/>
      <c r="D1295" s="28" t="n"/>
      <c r="E1295" s="29" t="n"/>
      <c r="F1295" s="29" t="n"/>
      <c r="G1295" s="28" t="n"/>
      <c r="H1295" s="28" t="n"/>
      <c r="I1295" s="28" t="n"/>
      <c r="J1295" s="28" t="n"/>
      <c r="K1295" s="24">
        <f>IF(D1295="","",IFERROR(INDEX(Setup!$B$24:$B$59,MATCH(D1295,Setup!$A$24:$A$59,0)),"Check category"))</f>
        <v/>
      </c>
      <c r="L1295" s="25">
        <f>IF(A1295="","",DATE(YEAR(A1295),MONTH(A1295),1))</f>
        <v/>
      </c>
      <c r="M1295" s="26">
        <f>IF(AND(E1295="",F1295=""),"",N(E1295)-N(F1295))</f>
        <v/>
      </c>
      <c r="N1295" s="28" t="n"/>
    </row>
    <row r="1296">
      <c r="A1296" s="27" t="n"/>
      <c r="B1296" s="28" t="n"/>
      <c r="C1296" s="28" t="n"/>
      <c r="D1296" s="28" t="n"/>
      <c r="E1296" s="29" t="n"/>
      <c r="F1296" s="29" t="n"/>
      <c r="G1296" s="28" t="n"/>
      <c r="H1296" s="28" t="n"/>
      <c r="I1296" s="28" t="n"/>
      <c r="J1296" s="28" t="n"/>
      <c r="K1296" s="24">
        <f>IF(D1296="","",IFERROR(INDEX(Setup!$B$24:$B$59,MATCH(D1296,Setup!$A$24:$A$59,0)),"Check category"))</f>
        <v/>
      </c>
      <c r="L1296" s="25">
        <f>IF(A1296="","",DATE(YEAR(A1296),MONTH(A1296),1))</f>
        <v/>
      </c>
      <c r="M1296" s="26">
        <f>IF(AND(E1296="",F1296=""),"",N(E1296)-N(F1296))</f>
        <v/>
      </c>
      <c r="N1296" s="28" t="n"/>
    </row>
    <row r="1297">
      <c r="A1297" s="27" t="n"/>
      <c r="B1297" s="28" t="n"/>
      <c r="C1297" s="28" t="n"/>
      <c r="D1297" s="28" t="n"/>
      <c r="E1297" s="29" t="n"/>
      <c r="F1297" s="29" t="n"/>
      <c r="G1297" s="28" t="n"/>
      <c r="H1297" s="28" t="n"/>
      <c r="I1297" s="28" t="n"/>
      <c r="J1297" s="28" t="n"/>
      <c r="K1297" s="24">
        <f>IF(D1297="","",IFERROR(INDEX(Setup!$B$24:$B$59,MATCH(D1297,Setup!$A$24:$A$59,0)),"Check category"))</f>
        <v/>
      </c>
      <c r="L1297" s="25">
        <f>IF(A1297="","",DATE(YEAR(A1297),MONTH(A1297),1))</f>
        <v/>
      </c>
      <c r="M1297" s="26">
        <f>IF(AND(E1297="",F1297=""),"",N(E1297)-N(F1297))</f>
        <v/>
      </c>
      <c r="N1297" s="28" t="n"/>
    </row>
    <row r="1298">
      <c r="A1298" s="27" t="n"/>
      <c r="B1298" s="28" t="n"/>
      <c r="C1298" s="28" t="n"/>
      <c r="D1298" s="28" t="n"/>
      <c r="E1298" s="29" t="n"/>
      <c r="F1298" s="29" t="n"/>
      <c r="G1298" s="28" t="n"/>
      <c r="H1298" s="28" t="n"/>
      <c r="I1298" s="28" t="n"/>
      <c r="J1298" s="28" t="n"/>
      <c r="K1298" s="24">
        <f>IF(D1298="","",IFERROR(INDEX(Setup!$B$24:$B$59,MATCH(D1298,Setup!$A$24:$A$59,0)),"Check category"))</f>
        <v/>
      </c>
      <c r="L1298" s="25">
        <f>IF(A1298="","",DATE(YEAR(A1298),MONTH(A1298),1))</f>
        <v/>
      </c>
      <c r="M1298" s="26">
        <f>IF(AND(E1298="",F1298=""),"",N(E1298)-N(F1298))</f>
        <v/>
      </c>
      <c r="N1298" s="28" t="n"/>
    </row>
    <row r="1299">
      <c r="A1299" s="27" t="n"/>
      <c r="B1299" s="28" t="n"/>
      <c r="C1299" s="28" t="n"/>
      <c r="D1299" s="28" t="n"/>
      <c r="E1299" s="29" t="n"/>
      <c r="F1299" s="29" t="n"/>
      <c r="G1299" s="28" t="n"/>
      <c r="H1299" s="28" t="n"/>
      <c r="I1299" s="28" t="n"/>
      <c r="J1299" s="28" t="n"/>
      <c r="K1299" s="24">
        <f>IF(D1299="","",IFERROR(INDEX(Setup!$B$24:$B$59,MATCH(D1299,Setup!$A$24:$A$59,0)),"Check category"))</f>
        <v/>
      </c>
      <c r="L1299" s="25">
        <f>IF(A1299="","",DATE(YEAR(A1299),MONTH(A1299),1))</f>
        <v/>
      </c>
      <c r="M1299" s="26">
        <f>IF(AND(E1299="",F1299=""),"",N(E1299)-N(F1299))</f>
        <v/>
      </c>
      <c r="N1299" s="28" t="n"/>
    </row>
    <row r="1300">
      <c r="A1300" s="27" t="n"/>
      <c r="B1300" s="28" t="n"/>
      <c r="C1300" s="28" t="n"/>
      <c r="D1300" s="28" t="n"/>
      <c r="E1300" s="29" t="n"/>
      <c r="F1300" s="29" t="n"/>
      <c r="G1300" s="28" t="n"/>
      <c r="H1300" s="28" t="n"/>
      <c r="I1300" s="28" t="n"/>
      <c r="J1300" s="28" t="n"/>
      <c r="K1300" s="24">
        <f>IF(D1300="","",IFERROR(INDEX(Setup!$B$24:$B$59,MATCH(D1300,Setup!$A$24:$A$59,0)),"Check category"))</f>
        <v/>
      </c>
      <c r="L1300" s="25">
        <f>IF(A1300="","",DATE(YEAR(A1300),MONTH(A1300),1))</f>
        <v/>
      </c>
      <c r="M1300" s="26">
        <f>IF(AND(E1300="",F1300=""),"",N(E1300)-N(F1300))</f>
        <v/>
      </c>
      <c r="N1300" s="28" t="n"/>
    </row>
    <row r="1301">
      <c r="A1301" s="27" t="n"/>
      <c r="B1301" s="28" t="n"/>
      <c r="C1301" s="28" t="n"/>
      <c r="D1301" s="28" t="n"/>
      <c r="E1301" s="29" t="n"/>
      <c r="F1301" s="29" t="n"/>
      <c r="G1301" s="28" t="n"/>
      <c r="H1301" s="28" t="n"/>
      <c r="I1301" s="28" t="n"/>
      <c r="J1301" s="28" t="n"/>
      <c r="K1301" s="24">
        <f>IF(D1301="","",IFERROR(INDEX(Setup!$B$24:$B$59,MATCH(D1301,Setup!$A$24:$A$59,0)),"Check category"))</f>
        <v/>
      </c>
      <c r="L1301" s="25">
        <f>IF(A1301="","",DATE(YEAR(A1301),MONTH(A1301),1))</f>
        <v/>
      </c>
      <c r="M1301" s="26">
        <f>IF(AND(E1301="",F1301=""),"",N(E1301)-N(F1301))</f>
        <v/>
      </c>
      <c r="N1301" s="28" t="n"/>
    </row>
    <row r="1302">
      <c r="A1302" s="27" t="n"/>
      <c r="B1302" s="28" t="n"/>
      <c r="C1302" s="28" t="n"/>
      <c r="D1302" s="28" t="n"/>
      <c r="E1302" s="29" t="n"/>
      <c r="F1302" s="29" t="n"/>
      <c r="G1302" s="28" t="n"/>
      <c r="H1302" s="28" t="n"/>
      <c r="I1302" s="28" t="n"/>
      <c r="J1302" s="28" t="n"/>
      <c r="K1302" s="24">
        <f>IF(D1302="","",IFERROR(INDEX(Setup!$B$24:$B$59,MATCH(D1302,Setup!$A$24:$A$59,0)),"Check category"))</f>
        <v/>
      </c>
      <c r="L1302" s="25">
        <f>IF(A1302="","",DATE(YEAR(A1302),MONTH(A1302),1))</f>
        <v/>
      </c>
      <c r="M1302" s="26">
        <f>IF(AND(E1302="",F1302=""),"",N(E1302)-N(F1302))</f>
        <v/>
      </c>
      <c r="N1302" s="28" t="n"/>
    </row>
    <row r="1303">
      <c r="A1303" s="27" t="n"/>
      <c r="B1303" s="28" t="n"/>
      <c r="C1303" s="28" t="n"/>
      <c r="D1303" s="28" t="n"/>
      <c r="E1303" s="29" t="n"/>
      <c r="F1303" s="29" t="n"/>
      <c r="G1303" s="28" t="n"/>
      <c r="H1303" s="28" t="n"/>
      <c r="I1303" s="28" t="n"/>
      <c r="J1303" s="28" t="n"/>
      <c r="K1303" s="24">
        <f>IF(D1303="","",IFERROR(INDEX(Setup!$B$24:$B$59,MATCH(D1303,Setup!$A$24:$A$59,0)),"Check category"))</f>
        <v/>
      </c>
      <c r="L1303" s="25">
        <f>IF(A1303="","",DATE(YEAR(A1303),MONTH(A1303),1))</f>
        <v/>
      </c>
      <c r="M1303" s="26">
        <f>IF(AND(E1303="",F1303=""),"",N(E1303)-N(F1303))</f>
        <v/>
      </c>
      <c r="N1303" s="28" t="n"/>
    </row>
    <row r="1304">
      <c r="A1304" s="27" t="n"/>
      <c r="B1304" s="28" t="n"/>
      <c r="C1304" s="28" t="n"/>
      <c r="D1304" s="28" t="n"/>
      <c r="E1304" s="29" t="n"/>
      <c r="F1304" s="29" t="n"/>
      <c r="G1304" s="28" t="n"/>
      <c r="H1304" s="28" t="n"/>
      <c r="I1304" s="28" t="n"/>
      <c r="J1304" s="28" t="n"/>
      <c r="K1304" s="24">
        <f>IF(D1304="","",IFERROR(INDEX(Setup!$B$24:$B$59,MATCH(D1304,Setup!$A$24:$A$59,0)),"Check category"))</f>
        <v/>
      </c>
      <c r="L1304" s="25">
        <f>IF(A1304="","",DATE(YEAR(A1304),MONTH(A1304),1))</f>
        <v/>
      </c>
      <c r="M1304" s="26">
        <f>IF(AND(E1304="",F1304=""),"",N(E1304)-N(F1304))</f>
        <v/>
      </c>
      <c r="N1304" s="28" t="n"/>
    </row>
    <row r="1305">
      <c r="A1305" s="27" t="n"/>
      <c r="B1305" s="28" t="n"/>
      <c r="C1305" s="28" t="n"/>
      <c r="D1305" s="28" t="n"/>
      <c r="E1305" s="29" t="n"/>
      <c r="F1305" s="29" t="n"/>
      <c r="G1305" s="28" t="n"/>
      <c r="H1305" s="28" t="n"/>
      <c r="I1305" s="28" t="n"/>
      <c r="J1305" s="28" t="n"/>
      <c r="K1305" s="24">
        <f>IF(D1305="","",IFERROR(INDEX(Setup!$B$24:$B$59,MATCH(D1305,Setup!$A$24:$A$59,0)),"Check category"))</f>
        <v/>
      </c>
      <c r="L1305" s="25">
        <f>IF(A1305="","",DATE(YEAR(A1305),MONTH(A1305),1))</f>
        <v/>
      </c>
      <c r="M1305" s="26">
        <f>IF(AND(E1305="",F1305=""),"",N(E1305)-N(F1305))</f>
        <v/>
      </c>
      <c r="N1305" s="28" t="n"/>
    </row>
    <row r="1306">
      <c r="A1306" s="27" t="n"/>
      <c r="B1306" s="28" t="n"/>
      <c r="C1306" s="28" t="n"/>
      <c r="D1306" s="28" t="n"/>
      <c r="E1306" s="29" t="n"/>
      <c r="F1306" s="29" t="n"/>
      <c r="G1306" s="28" t="n"/>
      <c r="H1306" s="28" t="n"/>
      <c r="I1306" s="28" t="n"/>
      <c r="J1306" s="28" t="n"/>
      <c r="K1306" s="24">
        <f>IF(D1306="","",IFERROR(INDEX(Setup!$B$24:$B$59,MATCH(D1306,Setup!$A$24:$A$59,0)),"Check category"))</f>
        <v/>
      </c>
      <c r="L1306" s="25">
        <f>IF(A1306="","",DATE(YEAR(A1306),MONTH(A1306),1))</f>
        <v/>
      </c>
      <c r="M1306" s="26">
        <f>IF(AND(E1306="",F1306=""),"",N(E1306)-N(F1306))</f>
        <v/>
      </c>
      <c r="N1306" s="28" t="n"/>
    </row>
    <row r="1307">
      <c r="A1307" s="27" t="n"/>
      <c r="B1307" s="28" t="n"/>
      <c r="C1307" s="28" t="n"/>
      <c r="D1307" s="28" t="n"/>
      <c r="E1307" s="29" t="n"/>
      <c r="F1307" s="29" t="n"/>
      <c r="G1307" s="28" t="n"/>
      <c r="H1307" s="28" t="n"/>
      <c r="I1307" s="28" t="n"/>
      <c r="J1307" s="28" t="n"/>
      <c r="K1307" s="24">
        <f>IF(D1307="","",IFERROR(INDEX(Setup!$B$24:$B$59,MATCH(D1307,Setup!$A$24:$A$59,0)),"Check category"))</f>
        <v/>
      </c>
      <c r="L1307" s="25">
        <f>IF(A1307="","",DATE(YEAR(A1307),MONTH(A1307),1))</f>
        <v/>
      </c>
      <c r="M1307" s="26">
        <f>IF(AND(E1307="",F1307=""),"",N(E1307)-N(F1307))</f>
        <v/>
      </c>
      <c r="N1307" s="28" t="n"/>
    </row>
    <row r="1308">
      <c r="A1308" s="27" t="n"/>
      <c r="B1308" s="28" t="n"/>
      <c r="C1308" s="28" t="n"/>
      <c r="D1308" s="28" t="n"/>
      <c r="E1308" s="29" t="n"/>
      <c r="F1308" s="29" t="n"/>
      <c r="G1308" s="28" t="n"/>
      <c r="H1308" s="28" t="n"/>
      <c r="I1308" s="28" t="n"/>
      <c r="J1308" s="28" t="n"/>
      <c r="K1308" s="24">
        <f>IF(D1308="","",IFERROR(INDEX(Setup!$B$24:$B$59,MATCH(D1308,Setup!$A$24:$A$59,0)),"Check category"))</f>
        <v/>
      </c>
      <c r="L1308" s="25">
        <f>IF(A1308="","",DATE(YEAR(A1308),MONTH(A1308),1))</f>
        <v/>
      </c>
      <c r="M1308" s="26">
        <f>IF(AND(E1308="",F1308=""),"",N(E1308)-N(F1308))</f>
        <v/>
      </c>
      <c r="N1308" s="28" t="n"/>
    </row>
    <row r="1309">
      <c r="A1309" s="27" t="n"/>
      <c r="B1309" s="28" t="n"/>
      <c r="C1309" s="28" t="n"/>
      <c r="D1309" s="28" t="n"/>
      <c r="E1309" s="29" t="n"/>
      <c r="F1309" s="29" t="n"/>
      <c r="G1309" s="28" t="n"/>
      <c r="H1309" s="28" t="n"/>
      <c r="I1309" s="28" t="n"/>
      <c r="J1309" s="28" t="n"/>
      <c r="K1309" s="24">
        <f>IF(D1309="","",IFERROR(INDEX(Setup!$B$24:$B$59,MATCH(D1309,Setup!$A$24:$A$59,0)),"Check category"))</f>
        <v/>
      </c>
      <c r="L1309" s="25">
        <f>IF(A1309="","",DATE(YEAR(A1309),MONTH(A1309),1))</f>
        <v/>
      </c>
      <c r="M1309" s="26">
        <f>IF(AND(E1309="",F1309=""),"",N(E1309)-N(F1309))</f>
        <v/>
      </c>
      <c r="N1309" s="28" t="n"/>
    </row>
    <row r="1310">
      <c r="A1310" s="27" t="n"/>
      <c r="B1310" s="28" t="n"/>
      <c r="C1310" s="28" t="n"/>
      <c r="D1310" s="28" t="n"/>
      <c r="E1310" s="29" t="n"/>
      <c r="F1310" s="29" t="n"/>
      <c r="G1310" s="28" t="n"/>
      <c r="H1310" s="28" t="n"/>
      <c r="I1310" s="28" t="n"/>
      <c r="J1310" s="28" t="n"/>
      <c r="K1310" s="24">
        <f>IF(D1310="","",IFERROR(INDEX(Setup!$B$24:$B$59,MATCH(D1310,Setup!$A$24:$A$59,0)),"Check category"))</f>
        <v/>
      </c>
      <c r="L1310" s="25">
        <f>IF(A1310="","",DATE(YEAR(A1310),MONTH(A1310),1))</f>
        <v/>
      </c>
      <c r="M1310" s="26">
        <f>IF(AND(E1310="",F1310=""),"",N(E1310)-N(F1310))</f>
        <v/>
      </c>
      <c r="N1310" s="28" t="n"/>
    </row>
    <row r="1311">
      <c r="A1311" s="27" t="n"/>
      <c r="B1311" s="28" t="n"/>
      <c r="C1311" s="28" t="n"/>
      <c r="D1311" s="28" t="n"/>
      <c r="E1311" s="29" t="n"/>
      <c r="F1311" s="29" t="n"/>
      <c r="G1311" s="28" t="n"/>
      <c r="H1311" s="28" t="n"/>
      <c r="I1311" s="28" t="n"/>
      <c r="J1311" s="28" t="n"/>
      <c r="K1311" s="24">
        <f>IF(D1311="","",IFERROR(INDEX(Setup!$B$24:$B$59,MATCH(D1311,Setup!$A$24:$A$59,0)),"Check category"))</f>
        <v/>
      </c>
      <c r="L1311" s="25">
        <f>IF(A1311="","",DATE(YEAR(A1311),MONTH(A1311),1))</f>
        <v/>
      </c>
      <c r="M1311" s="26">
        <f>IF(AND(E1311="",F1311=""),"",N(E1311)-N(F1311))</f>
        <v/>
      </c>
      <c r="N1311" s="28" t="n"/>
    </row>
    <row r="1312">
      <c r="A1312" s="27" t="n"/>
      <c r="B1312" s="28" t="n"/>
      <c r="C1312" s="28" t="n"/>
      <c r="D1312" s="28" t="n"/>
      <c r="E1312" s="29" t="n"/>
      <c r="F1312" s="29" t="n"/>
      <c r="G1312" s="28" t="n"/>
      <c r="H1312" s="28" t="n"/>
      <c r="I1312" s="28" t="n"/>
      <c r="J1312" s="28" t="n"/>
      <c r="K1312" s="24">
        <f>IF(D1312="","",IFERROR(INDEX(Setup!$B$24:$B$59,MATCH(D1312,Setup!$A$24:$A$59,0)),"Check category"))</f>
        <v/>
      </c>
      <c r="L1312" s="25">
        <f>IF(A1312="","",DATE(YEAR(A1312),MONTH(A1312),1))</f>
        <v/>
      </c>
      <c r="M1312" s="26">
        <f>IF(AND(E1312="",F1312=""),"",N(E1312)-N(F1312))</f>
        <v/>
      </c>
      <c r="N1312" s="28" t="n"/>
    </row>
    <row r="1313">
      <c r="A1313" s="27" t="n"/>
      <c r="B1313" s="28" t="n"/>
      <c r="C1313" s="28" t="n"/>
      <c r="D1313" s="28" t="n"/>
      <c r="E1313" s="29" t="n"/>
      <c r="F1313" s="29" t="n"/>
      <c r="G1313" s="28" t="n"/>
      <c r="H1313" s="28" t="n"/>
      <c r="I1313" s="28" t="n"/>
      <c r="J1313" s="28" t="n"/>
      <c r="K1313" s="24">
        <f>IF(D1313="","",IFERROR(INDEX(Setup!$B$24:$B$59,MATCH(D1313,Setup!$A$24:$A$59,0)),"Check category"))</f>
        <v/>
      </c>
      <c r="L1313" s="25">
        <f>IF(A1313="","",DATE(YEAR(A1313),MONTH(A1313),1))</f>
        <v/>
      </c>
      <c r="M1313" s="26">
        <f>IF(AND(E1313="",F1313=""),"",N(E1313)-N(F1313))</f>
        <v/>
      </c>
      <c r="N1313" s="28" t="n"/>
    </row>
    <row r="1314">
      <c r="A1314" s="27" t="n"/>
      <c r="B1314" s="28" t="n"/>
      <c r="C1314" s="28" t="n"/>
      <c r="D1314" s="28" t="n"/>
      <c r="E1314" s="29" t="n"/>
      <c r="F1314" s="29" t="n"/>
      <c r="G1314" s="28" t="n"/>
      <c r="H1314" s="28" t="n"/>
      <c r="I1314" s="28" t="n"/>
      <c r="J1314" s="28" t="n"/>
      <c r="K1314" s="24">
        <f>IF(D1314="","",IFERROR(INDEX(Setup!$B$24:$B$59,MATCH(D1314,Setup!$A$24:$A$59,0)),"Check category"))</f>
        <v/>
      </c>
      <c r="L1314" s="25">
        <f>IF(A1314="","",DATE(YEAR(A1314),MONTH(A1314),1))</f>
        <v/>
      </c>
      <c r="M1314" s="26">
        <f>IF(AND(E1314="",F1314=""),"",N(E1314)-N(F1314))</f>
        <v/>
      </c>
      <c r="N1314" s="28" t="n"/>
    </row>
    <row r="1315">
      <c r="A1315" s="27" t="n"/>
      <c r="B1315" s="28" t="n"/>
      <c r="C1315" s="28" t="n"/>
      <c r="D1315" s="28" t="n"/>
      <c r="E1315" s="29" t="n"/>
      <c r="F1315" s="29" t="n"/>
      <c r="G1315" s="28" t="n"/>
      <c r="H1315" s="28" t="n"/>
      <c r="I1315" s="28" t="n"/>
      <c r="J1315" s="28" t="n"/>
      <c r="K1315" s="24">
        <f>IF(D1315="","",IFERROR(INDEX(Setup!$B$24:$B$59,MATCH(D1315,Setup!$A$24:$A$59,0)),"Check category"))</f>
        <v/>
      </c>
      <c r="L1315" s="25">
        <f>IF(A1315="","",DATE(YEAR(A1315),MONTH(A1315),1))</f>
        <v/>
      </c>
      <c r="M1315" s="26">
        <f>IF(AND(E1315="",F1315=""),"",N(E1315)-N(F1315))</f>
        <v/>
      </c>
      <c r="N1315" s="28" t="n"/>
    </row>
    <row r="1316">
      <c r="A1316" s="27" t="n"/>
      <c r="B1316" s="28" t="n"/>
      <c r="C1316" s="28" t="n"/>
      <c r="D1316" s="28" t="n"/>
      <c r="E1316" s="29" t="n"/>
      <c r="F1316" s="29" t="n"/>
      <c r="G1316" s="28" t="n"/>
      <c r="H1316" s="28" t="n"/>
      <c r="I1316" s="28" t="n"/>
      <c r="J1316" s="28" t="n"/>
      <c r="K1316" s="24">
        <f>IF(D1316="","",IFERROR(INDEX(Setup!$B$24:$B$59,MATCH(D1316,Setup!$A$24:$A$59,0)),"Check category"))</f>
        <v/>
      </c>
      <c r="L1316" s="25">
        <f>IF(A1316="","",DATE(YEAR(A1316),MONTH(A1316),1))</f>
        <v/>
      </c>
      <c r="M1316" s="26">
        <f>IF(AND(E1316="",F1316=""),"",N(E1316)-N(F1316))</f>
        <v/>
      </c>
      <c r="N1316" s="28" t="n"/>
    </row>
    <row r="1317">
      <c r="A1317" s="27" t="n"/>
      <c r="B1317" s="28" t="n"/>
      <c r="C1317" s="28" t="n"/>
      <c r="D1317" s="28" t="n"/>
      <c r="E1317" s="29" t="n"/>
      <c r="F1317" s="29" t="n"/>
      <c r="G1317" s="28" t="n"/>
      <c r="H1317" s="28" t="n"/>
      <c r="I1317" s="28" t="n"/>
      <c r="J1317" s="28" t="n"/>
      <c r="K1317" s="24">
        <f>IF(D1317="","",IFERROR(INDEX(Setup!$B$24:$B$59,MATCH(D1317,Setup!$A$24:$A$59,0)),"Check category"))</f>
        <v/>
      </c>
      <c r="L1317" s="25">
        <f>IF(A1317="","",DATE(YEAR(A1317),MONTH(A1317),1))</f>
        <v/>
      </c>
      <c r="M1317" s="26">
        <f>IF(AND(E1317="",F1317=""),"",N(E1317)-N(F1317))</f>
        <v/>
      </c>
      <c r="N1317" s="28" t="n"/>
    </row>
    <row r="1318">
      <c r="A1318" s="27" t="n"/>
      <c r="B1318" s="28" t="n"/>
      <c r="C1318" s="28" t="n"/>
      <c r="D1318" s="28" t="n"/>
      <c r="E1318" s="29" t="n"/>
      <c r="F1318" s="29" t="n"/>
      <c r="G1318" s="28" t="n"/>
      <c r="H1318" s="28" t="n"/>
      <c r="I1318" s="28" t="n"/>
      <c r="J1318" s="28" t="n"/>
      <c r="K1318" s="24">
        <f>IF(D1318="","",IFERROR(INDEX(Setup!$B$24:$B$59,MATCH(D1318,Setup!$A$24:$A$59,0)),"Check category"))</f>
        <v/>
      </c>
      <c r="L1318" s="25">
        <f>IF(A1318="","",DATE(YEAR(A1318),MONTH(A1318),1))</f>
        <v/>
      </c>
      <c r="M1318" s="26">
        <f>IF(AND(E1318="",F1318=""),"",N(E1318)-N(F1318))</f>
        <v/>
      </c>
      <c r="N1318" s="28" t="n"/>
    </row>
    <row r="1319">
      <c r="A1319" s="27" t="n"/>
      <c r="B1319" s="28" t="n"/>
      <c r="C1319" s="28" t="n"/>
      <c r="D1319" s="28" t="n"/>
      <c r="E1319" s="29" t="n"/>
      <c r="F1319" s="29" t="n"/>
      <c r="G1319" s="28" t="n"/>
      <c r="H1319" s="28" t="n"/>
      <c r="I1319" s="28" t="n"/>
      <c r="J1319" s="28" t="n"/>
      <c r="K1319" s="24">
        <f>IF(D1319="","",IFERROR(INDEX(Setup!$B$24:$B$59,MATCH(D1319,Setup!$A$24:$A$59,0)),"Check category"))</f>
        <v/>
      </c>
      <c r="L1319" s="25">
        <f>IF(A1319="","",DATE(YEAR(A1319),MONTH(A1319),1))</f>
        <v/>
      </c>
      <c r="M1319" s="26">
        <f>IF(AND(E1319="",F1319=""),"",N(E1319)-N(F1319))</f>
        <v/>
      </c>
      <c r="N1319" s="28" t="n"/>
    </row>
    <row r="1320">
      <c r="A1320" s="27" t="n"/>
      <c r="B1320" s="28" t="n"/>
      <c r="C1320" s="28" t="n"/>
      <c r="D1320" s="28" t="n"/>
      <c r="E1320" s="29" t="n"/>
      <c r="F1320" s="29" t="n"/>
      <c r="G1320" s="28" t="n"/>
      <c r="H1320" s="28" t="n"/>
      <c r="I1320" s="28" t="n"/>
      <c r="J1320" s="28" t="n"/>
      <c r="K1320" s="24">
        <f>IF(D1320="","",IFERROR(INDEX(Setup!$B$24:$B$59,MATCH(D1320,Setup!$A$24:$A$59,0)),"Check category"))</f>
        <v/>
      </c>
      <c r="L1320" s="25">
        <f>IF(A1320="","",DATE(YEAR(A1320),MONTH(A1320),1))</f>
        <v/>
      </c>
      <c r="M1320" s="26">
        <f>IF(AND(E1320="",F1320=""),"",N(E1320)-N(F1320))</f>
        <v/>
      </c>
      <c r="N1320" s="28" t="n"/>
    </row>
    <row r="1321">
      <c r="A1321" s="27" t="n"/>
      <c r="B1321" s="28" t="n"/>
      <c r="C1321" s="28" t="n"/>
      <c r="D1321" s="28" t="n"/>
      <c r="E1321" s="29" t="n"/>
      <c r="F1321" s="29" t="n"/>
      <c r="G1321" s="28" t="n"/>
      <c r="H1321" s="28" t="n"/>
      <c r="I1321" s="28" t="n"/>
      <c r="J1321" s="28" t="n"/>
      <c r="K1321" s="24">
        <f>IF(D1321="","",IFERROR(INDEX(Setup!$B$24:$B$59,MATCH(D1321,Setup!$A$24:$A$59,0)),"Check category"))</f>
        <v/>
      </c>
      <c r="L1321" s="25">
        <f>IF(A1321="","",DATE(YEAR(A1321),MONTH(A1321),1))</f>
        <v/>
      </c>
      <c r="M1321" s="26">
        <f>IF(AND(E1321="",F1321=""),"",N(E1321)-N(F1321))</f>
        <v/>
      </c>
      <c r="N1321" s="28" t="n"/>
    </row>
    <row r="1322">
      <c r="A1322" s="27" t="n"/>
      <c r="B1322" s="28" t="n"/>
      <c r="C1322" s="28" t="n"/>
      <c r="D1322" s="28" t="n"/>
      <c r="E1322" s="29" t="n"/>
      <c r="F1322" s="29" t="n"/>
      <c r="G1322" s="28" t="n"/>
      <c r="H1322" s="28" t="n"/>
      <c r="I1322" s="28" t="n"/>
      <c r="J1322" s="28" t="n"/>
      <c r="K1322" s="24">
        <f>IF(D1322="","",IFERROR(INDEX(Setup!$B$24:$B$59,MATCH(D1322,Setup!$A$24:$A$59,0)),"Check category"))</f>
        <v/>
      </c>
      <c r="L1322" s="25">
        <f>IF(A1322="","",DATE(YEAR(A1322),MONTH(A1322),1))</f>
        <v/>
      </c>
      <c r="M1322" s="26">
        <f>IF(AND(E1322="",F1322=""),"",N(E1322)-N(F1322))</f>
        <v/>
      </c>
      <c r="N1322" s="28" t="n"/>
    </row>
    <row r="1323">
      <c r="A1323" s="27" t="n"/>
      <c r="B1323" s="28" t="n"/>
      <c r="C1323" s="28" t="n"/>
      <c r="D1323" s="28" t="n"/>
      <c r="E1323" s="29" t="n"/>
      <c r="F1323" s="29" t="n"/>
      <c r="G1323" s="28" t="n"/>
      <c r="H1323" s="28" t="n"/>
      <c r="I1323" s="28" t="n"/>
      <c r="J1323" s="28" t="n"/>
      <c r="K1323" s="24">
        <f>IF(D1323="","",IFERROR(INDEX(Setup!$B$24:$B$59,MATCH(D1323,Setup!$A$24:$A$59,0)),"Check category"))</f>
        <v/>
      </c>
      <c r="L1323" s="25">
        <f>IF(A1323="","",DATE(YEAR(A1323),MONTH(A1323),1))</f>
        <v/>
      </c>
      <c r="M1323" s="26">
        <f>IF(AND(E1323="",F1323=""),"",N(E1323)-N(F1323))</f>
        <v/>
      </c>
      <c r="N1323" s="28" t="n"/>
    </row>
    <row r="1324">
      <c r="A1324" s="27" t="n"/>
      <c r="B1324" s="28" t="n"/>
      <c r="C1324" s="28" t="n"/>
      <c r="D1324" s="28" t="n"/>
      <c r="E1324" s="29" t="n"/>
      <c r="F1324" s="29" t="n"/>
      <c r="G1324" s="28" t="n"/>
      <c r="H1324" s="28" t="n"/>
      <c r="I1324" s="28" t="n"/>
      <c r="J1324" s="28" t="n"/>
      <c r="K1324" s="24">
        <f>IF(D1324="","",IFERROR(INDEX(Setup!$B$24:$B$59,MATCH(D1324,Setup!$A$24:$A$59,0)),"Check category"))</f>
        <v/>
      </c>
      <c r="L1324" s="25">
        <f>IF(A1324="","",DATE(YEAR(A1324),MONTH(A1324),1))</f>
        <v/>
      </c>
      <c r="M1324" s="26">
        <f>IF(AND(E1324="",F1324=""),"",N(E1324)-N(F1324))</f>
        <v/>
      </c>
      <c r="N1324" s="28" t="n"/>
    </row>
    <row r="1325">
      <c r="A1325" s="27" t="n"/>
      <c r="B1325" s="28" t="n"/>
      <c r="C1325" s="28" t="n"/>
      <c r="D1325" s="28" t="n"/>
      <c r="E1325" s="29" t="n"/>
      <c r="F1325" s="29" t="n"/>
      <c r="G1325" s="28" t="n"/>
      <c r="H1325" s="28" t="n"/>
      <c r="I1325" s="28" t="n"/>
      <c r="J1325" s="28" t="n"/>
      <c r="K1325" s="24">
        <f>IF(D1325="","",IFERROR(INDEX(Setup!$B$24:$B$59,MATCH(D1325,Setup!$A$24:$A$59,0)),"Check category"))</f>
        <v/>
      </c>
      <c r="L1325" s="25">
        <f>IF(A1325="","",DATE(YEAR(A1325),MONTH(A1325),1))</f>
        <v/>
      </c>
      <c r="M1325" s="26">
        <f>IF(AND(E1325="",F1325=""),"",N(E1325)-N(F1325))</f>
        <v/>
      </c>
      <c r="N1325" s="28" t="n"/>
    </row>
    <row r="1326">
      <c r="A1326" s="27" t="n"/>
      <c r="B1326" s="28" t="n"/>
      <c r="C1326" s="28" t="n"/>
      <c r="D1326" s="28" t="n"/>
      <c r="E1326" s="29" t="n"/>
      <c r="F1326" s="29" t="n"/>
      <c r="G1326" s="28" t="n"/>
      <c r="H1326" s="28" t="n"/>
      <c r="I1326" s="28" t="n"/>
      <c r="J1326" s="28" t="n"/>
      <c r="K1326" s="24">
        <f>IF(D1326="","",IFERROR(INDEX(Setup!$B$24:$B$59,MATCH(D1326,Setup!$A$24:$A$59,0)),"Check category"))</f>
        <v/>
      </c>
      <c r="L1326" s="25">
        <f>IF(A1326="","",DATE(YEAR(A1326),MONTH(A1326),1))</f>
        <v/>
      </c>
      <c r="M1326" s="26">
        <f>IF(AND(E1326="",F1326=""),"",N(E1326)-N(F1326))</f>
        <v/>
      </c>
      <c r="N1326" s="28" t="n"/>
    </row>
    <row r="1327">
      <c r="A1327" s="27" t="n"/>
      <c r="B1327" s="28" t="n"/>
      <c r="C1327" s="28" t="n"/>
      <c r="D1327" s="28" t="n"/>
      <c r="E1327" s="29" t="n"/>
      <c r="F1327" s="29" t="n"/>
      <c r="G1327" s="28" t="n"/>
      <c r="H1327" s="28" t="n"/>
      <c r="I1327" s="28" t="n"/>
      <c r="J1327" s="28" t="n"/>
      <c r="K1327" s="24">
        <f>IF(D1327="","",IFERROR(INDEX(Setup!$B$24:$B$59,MATCH(D1327,Setup!$A$24:$A$59,0)),"Check category"))</f>
        <v/>
      </c>
      <c r="L1327" s="25">
        <f>IF(A1327="","",DATE(YEAR(A1327),MONTH(A1327),1))</f>
        <v/>
      </c>
      <c r="M1327" s="26">
        <f>IF(AND(E1327="",F1327=""),"",N(E1327)-N(F1327))</f>
        <v/>
      </c>
      <c r="N1327" s="28" t="n"/>
    </row>
    <row r="1328">
      <c r="A1328" s="27" t="n"/>
      <c r="B1328" s="28" t="n"/>
      <c r="C1328" s="28" t="n"/>
      <c r="D1328" s="28" t="n"/>
      <c r="E1328" s="29" t="n"/>
      <c r="F1328" s="29" t="n"/>
      <c r="G1328" s="28" t="n"/>
      <c r="H1328" s="28" t="n"/>
      <c r="I1328" s="28" t="n"/>
      <c r="J1328" s="28" t="n"/>
      <c r="K1328" s="24">
        <f>IF(D1328="","",IFERROR(INDEX(Setup!$B$24:$B$59,MATCH(D1328,Setup!$A$24:$A$59,0)),"Check category"))</f>
        <v/>
      </c>
      <c r="L1328" s="25">
        <f>IF(A1328="","",DATE(YEAR(A1328),MONTH(A1328),1))</f>
        <v/>
      </c>
      <c r="M1328" s="26">
        <f>IF(AND(E1328="",F1328=""),"",N(E1328)-N(F1328))</f>
        <v/>
      </c>
      <c r="N1328" s="28" t="n"/>
    </row>
    <row r="1329">
      <c r="A1329" s="27" t="n"/>
      <c r="B1329" s="28" t="n"/>
      <c r="C1329" s="28" t="n"/>
      <c r="D1329" s="28" t="n"/>
      <c r="E1329" s="29" t="n"/>
      <c r="F1329" s="29" t="n"/>
      <c r="G1329" s="28" t="n"/>
      <c r="H1329" s="28" t="n"/>
      <c r="I1329" s="28" t="n"/>
      <c r="J1329" s="28" t="n"/>
      <c r="K1329" s="24">
        <f>IF(D1329="","",IFERROR(INDEX(Setup!$B$24:$B$59,MATCH(D1329,Setup!$A$24:$A$59,0)),"Check category"))</f>
        <v/>
      </c>
      <c r="L1329" s="25">
        <f>IF(A1329="","",DATE(YEAR(A1329),MONTH(A1329),1))</f>
        <v/>
      </c>
      <c r="M1329" s="26">
        <f>IF(AND(E1329="",F1329=""),"",N(E1329)-N(F1329))</f>
        <v/>
      </c>
      <c r="N1329" s="28" t="n"/>
    </row>
    <row r="1330">
      <c r="A1330" s="27" t="n"/>
      <c r="B1330" s="28" t="n"/>
      <c r="C1330" s="28" t="n"/>
      <c r="D1330" s="28" t="n"/>
      <c r="E1330" s="29" t="n"/>
      <c r="F1330" s="29" t="n"/>
      <c r="G1330" s="28" t="n"/>
      <c r="H1330" s="28" t="n"/>
      <c r="I1330" s="28" t="n"/>
      <c r="J1330" s="28" t="n"/>
      <c r="K1330" s="24">
        <f>IF(D1330="","",IFERROR(INDEX(Setup!$B$24:$B$59,MATCH(D1330,Setup!$A$24:$A$59,0)),"Check category"))</f>
        <v/>
      </c>
      <c r="L1330" s="25">
        <f>IF(A1330="","",DATE(YEAR(A1330),MONTH(A1330),1))</f>
        <v/>
      </c>
      <c r="M1330" s="26">
        <f>IF(AND(E1330="",F1330=""),"",N(E1330)-N(F1330))</f>
        <v/>
      </c>
      <c r="N1330" s="28" t="n"/>
    </row>
    <row r="1331">
      <c r="A1331" s="27" t="n"/>
      <c r="B1331" s="28" t="n"/>
      <c r="C1331" s="28" t="n"/>
      <c r="D1331" s="28" t="n"/>
      <c r="E1331" s="29" t="n"/>
      <c r="F1331" s="29" t="n"/>
      <c r="G1331" s="28" t="n"/>
      <c r="H1331" s="28" t="n"/>
      <c r="I1331" s="28" t="n"/>
      <c r="J1331" s="28" t="n"/>
      <c r="K1331" s="24">
        <f>IF(D1331="","",IFERROR(INDEX(Setup!$B$24:$B$59,MATCH(D1331,Setup!$A$24:$A$59,0)),"Check category"))</f>
        <v/>
      </c>
      <c r="L1331" s="25">
        <f>IF(A1331="","",DATE(YEAR(A1331),MONTH(A1331),1))</f>
        <v/>
      </c>
      <c r="M1331" s="26">
        <f>IF(AND(E1331="",F1331=""),"",N(E1331)-N(F1331))</f>
        <v/>
      </c>
      <c r="N1331" s="28" t="n"/>
    </row>
    <row r="1332">
      <c r="A1332" s="27" t="n"/>
      <c r="B1332" s="28" t="n"/>
      <c r="C1332" s="28" t="n"/>
      <c r="D1332" s="28" t="n"/>
      <c r="E1332" s="29" t="n"/>
      <c r="F1332" s="29" t="n"/>
      <c r="G1332" s="28" t="n"/>
      <c r="H1332" s="28" t="n"/>
      <c r="I1332" s="28" t="n"/>
      <c r="J1332" s="28" t="n"/>
      <c r="K1332" s="24">
        <f>IF(D1332="","",IFERROR(INDEX(Setup!$B$24:$B$59,MATCH(D1332,Setup!$A$24:$A$59,0)),"Check category"))</f>
        <v/>
      </c>
      <c r="L1332" s="25">
        <f>IF(A1332="","",DATE(YEAR(A1332),MONTH(A1332),1))</f>
        <v/>
      </c>
      <c r="M1332" s="26">
        <f>IF(AND(E1332="",F1332=""),"",N(E1332)-N(F1332))</f>
        <v/>
      </c>
      <c r="N1332" s="28" t="n"/>
    </row>
    <row r="1333">
      <c r="A1333" s="27" t="n"/>
      <c r="B1333" s="28" t="n"/>
      <c r="C1333" s="28" t="n"/>
      <c r="D1333" s="28" t="n"/>
      <c r="E1333" s="29" t="n"/>
      <c r="F1333" s="29" t="n"/>
      <c r="G1333" s="28" t="n"/>
      <c r="H1333" s="28" t="n"/>
      <c r="I1333" s="28" t="n"/>
      <c r="J1333" s="28" t="n"/>
      <c r="K1333" s="24">
        <f>IF(D1333="","",IFERROR(INDEX(Setup!$B$24:$B$59,MATCH(D1333,Setup!$A$24:$A$59,0)),"Check category"))</f>
        <v/>
      </c>
      <c r="L1333" s="25">
        <f>IF(A1333="","",DATE(YEAR(A1333),MONTH(A1333),1))</f>
        <v/>
      </c>
      <c r="M1333" s="26">
        <f>IF(AND(E1333="",F1333=""),"",N(E1333)-N(F1333))</f>
        <v/>
      </c>
      <c r="N1333" s="28" t="n"/>
    </row>
    <row r="1334">
      <c r="A1334" s="27" t="n"/>
      <c r="B1334" s="28" t="n"/>
      <c r="C1334" s="28" t="n"/>
      <c r="D1334" s="28" t="n"/>
      <c r="E1334" s="29" t="n"/>
      <c r="F1334" s="29" t="n"/>
      <c r="G1334" s="28" t="n"/>
      <c r="H1334" s="28" t="n"/>
      <c r="I1334" s="28" t="n"/>
      <c r="J1334" s="28" t="n"/>
      <c r="K1334" s="24">
        <f>IF(D1334="","",IFERROR(INDEX(Setup!$B$24:$B$59,MATCH(D1334,Setup!$A$24:$A$59,0)),"Check category"))</f>
        <v/>
      </c>
      <c r="L1334" s="25">
        <f>IF(A1334="","",DATE(YEAR(A1334),MONTH(A1334),1))</f>
        <v/>
      </c>
      <c r="M1334" s="26">
        <f>IF(AND(E1334="",F1334=""),"",N(E1334)-N(F1334))</f>
        <v/>
      </c>
      <c r="N1334" s="28" t="n"/>
    </row>
    <row r="1335">
      <c r="A1335" s="27" t="n"/>
      <c r="B1335" s="28" t="n"/>
      <c r="C1335" s="28" t="n"/>
      <c r="D1335" s="28" t="n"/>
      <c r="E1335" s="29" t="n"/>
      <c r="F1335" s="29" t="n"/>
      <c r="G1335" s="28" t="n"/>
      <c r="H1335" s="28" t="n"/>
      <c r="I1335" s="28" t="n"/>
      <c r="J1335" s="28" t="n"/>
      <c r="K1335" s="24">
        <f>IF(D1335="","",IFERROR(INDEX(Setup!$B$24:$B$59,MATCH(D1335,Setup!$A$24:$A$59,0)),"Check category"))</f>
        <v/>
      </c>
      <c r="L1335" s="25">
        <f>IF(A1335="","",DATE(YEAR(A1335),MONTH(A1335),1))</f>
        <v/>
      </c>
      <c r="M1335" s="26">
        <f>IF(AND(E1335="",F1335=""),"",N(E1335)-N(F1335))</f>
        <v/>
      </c>
      <c r="N1335" s="28" t="n"/>
    </row>
    <row r="1336">
      <c r="A1336" s="27" t="n"/>
      <c r="B1336" s="28" t="n"/>
      <c r="C1336" s="28" t="n"/>
      <c r="D1336" s="28" t="n"/>
      <c r="E1336" s="29" t="n"/>
      <c r="F1336" s="29" t="n"/>
      <c r="G1336" s="28" t="n"/>
      <c r="H1336" s="28" t="n"/>
      <c r="I1336" s="28" t="n"/>
      <c r="J1336" s="28" t="n"/>
      <c r="K1336" s="24">
        <f>IF(D1336="","",IFERROR(INDEX(Setup!$B$24:$B$59,MATCH(D1336,Setup!$A$24:$A$59,0)),"Check category"))</f>
        <v/>
      </c>
      <c r="L1336" s="25">
        <f>IF(A1336="","",DATE(YEAR(A1336),MONTH(A1336),1))</f>
        <v/>
      </c>
      <c r="M1336" s="26">
        <f>IF(AND(E1336="",F1336=""),"",N(E1336)-N(F1336))</f>
        <v/>
      </c>
      <c r="N1336" s="28" t="n"/>
    </row>
    <row r="1337">
      <c r="A1337" s="27" t="n"/>
      <c r="B1337" s="28" t="n"/>
      <c r="C1337" s="28" t="n"/>
      <c r="D1337" s="28" t="n"/>
      <c r="E1337" s="29" t="n"/>
      <c r="F1337" s="29" t="n"/>
      <c r="G1337" s="28" t="n"/>
      <c r="H1337" s="28" t="n"/>
      <c r="I1337" s="28" t="n"/>
      <c r="J1337" s="28" t="n"/>
      <c r="K1337" s="24">
        <f>IF(D1337="","",IFERROR(INDEX(Setup!$B$24:$B$59,MATCH(D1337,Setup!$A$24:$A$59,0)),"Check category"))</f>
        <v/>
      </c>
      <c r="L1337" s="25">
        <f>IF(A1337="","",DATE(YEAR(A1337),MONTH(A1337),1))</f>
        <v/>
      </c>
      <c r="M1337" s="26">
        <f>IF(AND(E1337="",F1337=""),"",N(E1337)-N(F1337))</f>
        <v/>
      </c>
      <c r="N1337" s="28" t="n"/>
    </row>
    <row r="1338">
      <c r="A1338" s="27" t="n"/>
      <c r="B1338" s="28" t="n"/>
      <c r="C1338" s="28" t="n"/>
      <c r="D1338" s="28" t="n"/>
      <c r="E1338" s="29" t="n"/>
      <c r="F1338" s="29" t="n"/>
      <c r="G1338" s="28" t="n"/>
      <c r="H1338" s="28" t="n"/>
      <c r="I1338" s="28" t="n"/>
      <c r="J1338" s="28" t="n"/>
      <c r="K1338" s="24">
        <f>IF(D1338="","",IFERROR(INDEX(Setup!$B$24:$B$59,MATCH(D1338,Setup!$A$24:$A$59,0)),"Check category"))</f>
        <v/>
      </c>
      <c r="L1338" s="25">
        <f>IF(A1338="","",DATE(YEAR(A1338),MONTH(A1338),1))</f>
        <v/>
      </c>
      <c r="M1338" s="26">
        <f>IF(AND(E1338="",F1338=""),"",N(E1338)-N(F1338))</f>
        <v/>
      </c>
      <c r="N1338" s="28" t="n"/>
    </row>
    <row r="1339">
      <c r="A1339" s="27" t="n"/>
      <c r="B1339" s="28" t="n"/>
      <c r="C1339" s="28" t="n"/>
      <c r="D1339" s="28" t="n"/>
      <c r="E1339" s="29" t="n"/>
      <c r="F1339" s="29" t="n"/>
      <c r="G1339" s="28" t="n"/>
      <c r="H1339" s="28" t="n"/>
      <c r="I1339" s="28" t="n"/>
      <c r="J1339" s="28" t="n"/>
      <c r="K1339" s="24">
        <f>IF(D1339="","",IFERROR(INDEX(Setup!$B$24:$B$59,MATCH(D1339,Setup!$A$24:$A$59,0)),"Check category"))</f>
        <v/>
      </c>
      <c r="L1339" s="25">
        <f>IF(A1339="","",DATE(YEAR(A1339),MONTH(A1339),1))</f>
        <v/>
      </c>
      <c r="M1339" s="26">
        <f>IF(AND(E1339="",F1339=""),"",N(E1339)-N(F1339))</f>
        <v/>
      </c>
      <c r="N1339" s="28" t="n"/>
    </row>
    <row r="1340">
      <c r="A1340" s="27" t="n"/>
      <c r="B1340" s="28" t="n"/>
      <c r="C1340" s="28" t="n"/>
      <c r="D1340" s="28" t="n"/>
      <c r="E1340" s="29" t="n"/>
      <c r="F1340" s="29" t="n"/>
      <c r="G1340" s="28" t="n"/>
      <c r="H1340" s="28" t="n"/>
      <c r="I1340" s="28" t="n"/>
      <c r="J1340" s="28" t="n"/>
      <c r="K1340" s="24">
        <f>IF(D1340="","",IFERROR(INDEX(Setup!$B$24:$B$59,MATCH(D1340,Setup!$A$24:$A$59,0)),"Check category"))</f>
        <v/>
      </c>
      <c r="L1340" s="25">
        <f>IF(A1340="","",DATE(YEAR(A1340),MONTH(A1340),1))</f>
        <v/>
      </c>
      <c r="M1340" s="26">
        <f>IF(AND(E1340="",F1340=""),"",N(E1340)-N(F1340))</f>
        <v/>
      </c>
      <c r="N1340" s="28" t="n"/>
    </row>
    <row r="1341">
      <c r="A1341" s="27" t="n"/>
      <c r="B1341" s="28" t="n"/>
      <c r="C1341" s="28" t="n"/>
      <c r="D1341" s="28" t="n"/>
      <c r="E1341" s="29" t="n"/>
      <c r="F1341" s="29" t="n"/>
      <c r="G1341" s="28" t="n"/>
      <c r="H1341" s="28" t="n"/>
      <c r="I1341" s="28" t="n"/>
      <c r="J1341" s="28" t="n"/>
      <c r="K1341" s="24">
        <f>IF(D1341="","",IFERROR(INDEX(Setup!$B$24:$B$59,MATCH(D1341,Setup!$A$24:$A$59,0)),"Check category"))</f>
        <v/>
      </c>
      <c r="L1341" s="25">
        <f>IF(A1341="","",DATE(YEAR(A1341),MONTH(A1341),1))</f>
        <v/>
      </c>
      <c r="M1341" s="26">
        <f>IF(AND(E1341="",F1341=""),"",N(E1341)-N(F1341))</f>
        <v/>
      </c>
      <c r="N1341" s="28" t="n"/>
    </row>
    <row r="1342">
      <c r="A1342" s="27" t="n"/>
      <c r="B1342" s="28" t="n"/>
      <c r="C1342" s="28" t="n"/>
      <c r="D1342" s="28" t="n"/>
      <c r="E1342" s="29" t="n"/>
      <c r="F1342" s="29" t="n"/>
      <c r="G1342" s="28" t="n"/>
      <c r="H1342" s="28" t="n"/>
      <c r="I1342" s="28" t="n"/>
      <c r="J1342" s="28" t="n"/>
      <c r="K1342" s="24">
        <f>IF(D1342="","",IFERROR(INDEX(Setup!$B$24:$B$59,MATCH(D1342,Setup!$A$24:$A$59,0)),"Check category"))</f>
        <v/>
      </c>
      <c r="L1342" s="25">
        <f>IF(A1342="","",DATE(YEAR(A1342),MONTH(A1342),1))</f>
        <v/>
      </c>
      <c r="M1342" s="26">
        <f>IF(AND(E1342="",F1342=""),"",N(E1342)-N(F1342))</f>
        <v/>
      </c>
      <c r="N1342" s="28" t="n"/>
    </row>
    <row r="1343">
      <c r="A1343" s="27" t="n"/>
      <c r="B1343" s="28" t="n"/>
      <c r="C1343" s="28" t="n"/>
      <c r="D1343" s="28" t="n"/>
      <c r="E1343" s="29" t="n"/>
      <c r="F1343" s="29" t="n"/>
      <c r="G1343" s="28" t="n"/>
      <c r="H1343" s="28" t="n"/>
      <c r="I1343" s="28" t="n"/>
      <c r="J1343" s="28" t="n"/>
      <c r="K1343" s="24">
        <f>IF(D1343="","",IFERROR(INDEX(Setup!$B$24:$B$59,MATCH(D1343,Setup!$A$24:$A$59,0)),"Check category"))</f>
        <v/>
      </c>
      <c r="L1343" s="25">
        <f>IF(A1343="","",DATE(YEAR(A1343),MONTH(A1343),1))</f>
        <v/>
      </c>
      <c r="M1343" s="26">
        <f>IF(AND(E1343="",F1343=""),"",N(E1343)-N(F1343))</f>
        <v/>
      </c>
      <c r="N1343" s="28" t="n"/>
    </row>
    <row r="1344">
      <c r="A1344" s="27" t="n"/>
      <c r="B1344" s="28" t="n"/>
      <c r="C1344" s="28" t="n"/>
      <c r="D1344" s="28" t="n"/>
      <c r="E1344" s="29" t="n"/>
      <c r="F1344" s="29" t="n"/>
      <c r="G1344" s="28" t="n"/>
      <c r="H1344" s="28" t="n"/>
      <c r="I1344" s="28" t="n"/>
      <c r="J1344" s="28" t="n"/>
      <c r="K1344" s="24">
        <f>IF(D1344="","",IFERROR(INDEX(Setup!$B$24:$B$59,MATCH(D1344,Setup!$A$24:$A$59,0)),"Check category"))</f>
        <v/>
      </c>
      <c r="L1344" s="25">
        <f>IF(A1344="","",DATE(YEAR(A1344),MONTH(A1344),1))</f>
        <v/>
      </c>
      <c r="M1344" s="26">
        <f>IF(AND(E1344="",F1344=""),"",N(E1344)-N(F1344))</f>
        <v/>
      </c>
      <c r="N1344" s="28" t="n"/>
    </row>
    <row r="1345">
      <c r="A1345" s="27" t="n"/>
      <c r="B1345" s="28" t="n"/>
      <c r="C1345" s="28" t="n"/>
      <c r="D1345" s="28" t="n"/>
      <c r="E1345" s="29" t="n"/>
      <c r="F1345" s="29" t="n"/>
      <c r="G1345" s="28" t="n"/>
      <c r="H1345" s="28" t="n"/>
      <c r="I1345" s="28" t="n"/>
      <c r="J1345" s="28" t="n"/>
      <c r="K1345" s="24">
        <f>IF(D1345="","",IFERROR(INDEX(Setup!$B$24:$B$59,MATCH(D1345,Setup!$A$24:$A$59,0)),"Check category"))</f>
        <v/>
      </c>
      <c r="L1345" s="25">
        <f>IF(A1345="","",DATE(YEAR(A1345),MONTH(A1345),1))</f>
        <v/>
      </c>
      <c r="M1345" s="26">
        <f>IF(AND(E1345="",F1345=""),"",N(E1345)-N(F1345))</f>
        <v/>
      </c>
      <c r="N1345" s="28" t="n"/>
    </row>
    <row r="1346">
      <c r="A1346" s="27" t="n"/>
      <c r="B1346" s="28" t="n"/>
      <c r="C1346" s="28" t="n"/>
      <c r="D1346" s="28" t="n"/>
      <c r="E1346" s="29" t="n"/>
      <c r="F1346" s="29" t="n"/>
      <c r="G1346" s="28" t="n"/>
      <c r="H1346" s="28" t="n"/>
      <c r="I1346" s="28" t="n"/>
      <c r="J1346" s="28" t="n"/>
      <c r="K1346" s="24">
        <f>IF(D1346="","",IFERROR(INDEX(Setup!$B$24:$B$59,MATCH(D1346,Setup!$A$24:$A$59,0)),"Check category"))</f>
        <v/>
      </c>
      <c r="L1346" s="25">
        <f>IF(A1346="","",DATE(YEAR(A1346),MONTH(A1346),1))</f>
        <v/>
      </c>
      <c r="M1346" s="26">
        <f>IF(AND(E1346="",F1346=""),"",N(E1346)-N(F1346))</f>
        <v/>
      </c>
      <c r="N1346" s="28" t="n"/>
    </row>
    <row r="1347">
      <c r="A1347" s="27" t="n"/>
      <c r="B1347" s="28" t="n"/>
      <c r="C1347" s="28" t="n"/>
      <c r="D1347" s="28" t="n"/>
      <c r="E1347" s="29" t="n"/>
      <c r="F1347" s="29" t="n"/>
      <c r="G1347" s="28" t="n"/>
      <c r="H1347" s="28" t="n"/>
      <c r="I1347" s="28" t="n"/>
      <c r="J1347" s="28" t="n"/>
      <c r="K1347" s="24">
        <f>IF(D1347="","",IFERROR(INDEX(Setup!$B$24:$B$59,MATCH(D1347,Setup!$A$24:$A$59,0)),"Check category"))</f>
        <v/>
      </c>
      <c r="L1347" s="25">
        <f>IF(A1347="","",DATE(YEAR(A1347),MONTH(A1347),1))</f>
        <v/>
      </c>
      <c r="M1347" s="26">
        <f>IF(AND(E1347="",F1347=""),"",N(E1347)-N(F1347))</f>
        <v/>
      </c>
      <c r="N1347" s="28" t="n"/>
    </row>
    <row r="1348">
      <c r="A1348" s="27" t="n"/>
      <c r="B1348" s="28" t="n"/>
      <c r="C1348" s="28" t="n"/>
      <c r="D1348" s="28" t="n"/>
      <c r="E1348" s="29" t="n"/>
      <c r="F1348" s="29" t="n"/>
      <c r="G1348" s="28" t="n"/>
      <c r="H1348" s="28" t="n"/>
      <c r="I1348" s="28" t="n"/>
      <c r="J1348" s="28" t="n"/>
      <c r="K1348" s="24">
        <f>IF(D1348="","",IFERROR(INDEX(Setup!$B$24:$B$59,MATCH(D1348,Setup!$A$24:$A$59,0)),"Check category"))</f>
        <v/>
      </c>
      <c r="L1348" s="25">
        <f>IF(A1348="","",DATE(YEAR(A1348),MONTH(A1348),1))</f>
        <v/>
      </c>
      <c r="M1348" s="26">
        <f>IF(AND(E1348="",F1348=""),"",N(E1348)-N(F1348))</f>
        <v/>
      </c>
      <c r="N1348" s="28" t="n"/>
    </row>
    <row r="1349">
      <c r="A1349" s="27" t="n"/>
      <c r="B1349" s="28" t="n"/>
      <c r="C1349" s="28" t="n"/>
      <c r="D1349" s="28" t="n"/>
      <c r="E1349" s="29" t="n"/>
      <c r="F1349" s="29" t="n"/>
      <c r="G1349" s="28" t="n"/>
      <c r="H1349" s="28" t="n"/>
      <c r="I1349" s="28" t="n"/>
      <c r="J1349" s="28" t="n"/>
      <c r="K1349" s="24">
        <f>IF(D1349="","",IFERROR(INDEX(Setup!$B$24:$B$59,MATCH(D1349,Setup!$A$24:$A$59,0)),"Check category"))</f>
        <v/>
      </c>
      <c r="L1349" s="25">
        <f>IF(A1349="","",DATE(YEAR(A1349),MONTH(A1349),1))</f>
        <v/>
      </c>
      <c r="M1349" s="26">
        <f>IF(AND(E1349="",F1349=""),"",N(E1349)-N(F1349))</f>
        <v/>
      </c>
      <c r="N1349" s="28" t="n"/>
    </row>
    <row r="1350">
      <c r="A1350" s="27" t="n"/>
      <c r="B1350" s="28" t="n"/>
      <c r="C1350" s="28" t="n"/>
      <c r="D1350" s="28" t="n"/>
      <c r="E1350" s="29" t="n"/>
      <c r="F1350" s="29" t="n"/>
      <c r="G1350" s="28" t="n"/>
      <c r="H1350" s="28" t="n"/>
      <c r="I1350" s="28" t="n"/>
      <c r="J1350" s="28" t="n"/>
      <c r="K1350" s="24">
        <f>IF(D1350="","",IFERROR(INDEX(Setup!$B$24:$B$59,MATCH(D1350,Setup!$A$24:$A$59,0)),"Check category"))</f>
        <v/>
      </c>
      <c r="L1350" s="25">
        <f>IF(A1350="","",DATE(YEAR(A1350),MONTH(A1350),1))</f>
        <v/>
      </c>
      <c r="M1350" s="26">
        <f>IF(AND(E1350="",F1350=""),"",N(E1350)-N(F1350))</f>
        <v/>
      </c>
      <c r="N1350" s="28" t="n"/>
    </row>
    <row r="1351">
      <c r="A1351" s="27" t="n"/>
      <c r="B1351" s="28" t="n"/>
      <c r="C1351" s="28" t="n"/>
      <c r="D1351" s="28" t="n"/>
      <c r="E1351" s="29" t="n"/>
      <c r="F1351" s="29" t="n"/>
      <c r="G1351" s="28" t="n"/>
      <c r="H1351" s="28" t="n"/>
      <c r="I1351" s="28" t="n"/>
      <c r="J1351" s="28" t="n"/>
      <c r="K1351" s="24">
        <f>IF(D1351="","",IFERROR(INDEX(Setup!$B$24:$B$59,MATCH(D1351,Setup!$A$24:$A$59,0)),"Check category"))</f>
        <v/>
      </c>
      <c r="L1351" s="25">
        <f>IF(A1351="","",DATE(YEAR(A1351),MONTH(A1351),1))</f>
        <v/>
      </c>
      <c r="M1351" s="26">
        <f>IF(AND(E1351="",F1351=""),"",N(E1351)-N(F1351))</f>
        <v/>
      </c>
      <c r="N1351" s="28" t="n"/>
    </row>
    <row r="1352">
      <c r="A1352" s="27" t="n"/>
      <c r="B1352" s="28" t="n"/>
      <c r="C1352" s="28" t="n"/>
      <c r="D1352" s="28" t="n"/>
      <c r="E1352" s="29" t="n"/>
      <c r="F1352" s="29" t="n"/>
      <c r="G1352" s="28" t="n"/>
      <c r="H1352" s="28" t="n"/>
      <c r="I1352" s="28" t="n"/>
      <c r="J1352" s="28" t="n"/>
      <c r="K1352" s="24">
        <f>IF(D1352="","",IFERROR(INDEX(Setup!$B$24:$B$59,MATCH(D1352,Setup!$A$24:$A$59,0)),"Check category"))</f>
        <v/>
      </c>
      <c r="L1352" s="25">
        <f>IF(A1352="","",DATE(YEAR(A1352),MONTH(A1352),1))</f>
        <v/>
      </c>
      <c r="M1352" s="26">
        <f>IF(AND(E1352="",F1352=""),"",N(E1352)-N(F1352))</f>
        <v/>
      </c>
      <c r="N1352" s="28" t="n"/>
    </row>
    <row r="1353">
      <c r="A1353" s="27" t="n"/>
      <c r="B1353" s="28" t="n"/>
      <c r="C1353" s="28" t="n"/>
      <c r="D1353" s="28" t="n"/>
      <c r="E1353" s="29" t="n"/>
      <c r="F1353" s="29" t="n"/>
      <c r="G1353" s="28" t="n"/>
      <c r="H1353" s="28" t="n"/>
      <c r="I1353" s="28" t="n"/>
      <c r="J1353" s="28" t="n"/>
      <c r="K1353" s="24">
        <f>IF(D1353="","",IFERROR(INDEX(Setup!$B$24:$B$59,MATCH(D1353,Setup!$A$24:$A$59,0)),"Check category"))</f>
        <v/>
      </c>
      <c r="L1353" s="25">
        <f>IF(A1353="","",DATE(YEAR(A1353),MONTH(A1353),1))</f>
        <v/>
      </c>
      <c r="M1353" s="26">
        <f>IF(AND(E1353="",F1353=""),"",N(E1353)-N(F1353))</f>
        <v/>
      </c>
      <c r="N1353" s="28" t="n"/>
    </row>
    <row r="1354">
      <c r="A1354" s="27" t="n"/>
      <c r="B1354" s="28" t="n"/>
      <c r="C1354" s="28" t="n"/>
      <c r="D1354" s="28" t="n"/>
      <c r="E1354" s="29" t="n"/>
      <c r="F1354" s="29" t="n"/>
      <c r="G1354" s="28" t="n"/>
      <c r="H1354" s="28" t="n"/>
      <c r="I1354" s="28" t="n"/>
      <c r="J1354" s="28" t="n"/>
      <c r="K1354" s="24">
        <f>IF(D1354="","",IFERROR(INDEX(Setup!$B$24:$B$59,MATCH(D1354,Setup!$A$24:$A$59,0)),"Check category"))</f>
        <v/>
      </c>
      <c r="L1354" s="25">
        <f>IF(A1354="","",DATE(YEAR(A1354),MONTH(A1354),1))</f>
        <v/>
      </c>
      <c r="M1354" s="26">
        <f>IF(AND(E1354="",F1354=""),"",N(E1354)-N(F1354))</f>
        <v/>
      </c>
      <c r="N1354" s="28" t="n"/>
    </row>
    <row r="1355">
      <c r="A1355" s="27" t="n"/>
      <c r="B1355" s="28" t="n"/>
      <c r="C1355" s="28" t="n"/>
      <c r="D1355" s="28" t="n"/>
      <c r="E1355" s="29" t="n"/>
      <c r="F1355" s="29" t="n"/>
      <c r="G1355" s="28" t="n"/>
      <c r="H1355" s="28" t="n"/>
      <c r="I1355" s="28" t="n"/>
      <c r="J1355" s="28" t="n"/>
      <c r="K1355" s="24">
        <f>IF(D1355="","",IFERROR(INDEX(Setup!$B$24:$B$59,MATCH(D1355,Setup!$A$24:$A$59,0)),"Check category"))</f>
        <v/>
      </c>
      <c r="L1355" s="25">
        <f>IF(A1355="","",DATE(YEAR(A1355),MONTH(A1355),1))</f>
        <v/>
      </c>
      <c r="M1355" s="26">
        <f>IF(AND(E1355="",F1355=""),"",N(E1355)-N(F1355))</f>
        <v/>
      </c>
      <c r="N1355" s="28" t="n"/>
    </row>
    <row r="1356">
      <c r="A1356" s="27" t="n"/>
      <c r="B1356" s="28" t="n"/>
      <c r="C1356" s="28" t="n"/>
      <c r="D1356" s="28" t="n"/>
      <c r="E1356" s="29" t="n"/>
      <c r="F1356" s="29" t="n"/>
      <c r="G1356" s="28" t="n"/>
      <c r="H1356" s="28" t="n"/>
      <c r="I1356" s="28" t="n"/>
      <c r="J1356" s="28" t="n"/>
      <c r="K1356" s="24">
        <f>IF(D1356="","",IFERROR(INDEX(Setup!$B$24:$B$59,MATCH(D1356,Setup!$A$24:$A$59,0)),"Check category"))</f>
        <v/>
      </c>
      <c r="L1356" s="25">
        <f>IF(A1356="","",DATE(YEAR(A1356),MONTH(A1356),1))</f>
        <v/>
      </c>
      <c r="M1356" s="26">
        <f>IF(AND(E1356="",F1356=""),"",N(E1356)-N(F1356))</f>
        <v/>
      </c>
      <c r="N1356" s="28" t="n"/>
    </row>
    <row r="1357">
      <c r="A1357" s="27" t="n"/>
      <c r="B1357" s="28" t="n"/>
      <c r="C1357" s="28" t="n"/>
      <c r="D1357" s="28" t="n"/>
      <c r="E1357" s="29" t="n"/>
      <c r="F1357" s="29" t="n"/>
      <c r="G1357" s="28" t="n"/>
      <c r="H1357" s="28" t="n"/>
      <c r="I1357" s="28" t="n"/>
      <c r="J1357" s="28" t="n"/>
      <c r="K1357" s="24">
        <f>IF(D1357="","",IFERROR(INDEX(Setup!$B$24:$B$59,MATCH(D1357,Setup!$A$24:$A$59,0)),"Check category"))</f>
        <v/>
      </c>
      <c r="L1357" s="25">
        <f>IF(A1357="","",DATE(YEAR(A1357),MONTH(A1357),1))</f>
        <v/>
      </c>
      <c r="M1357" s="26">
        <f>IF(AND(E1357="",F1357=""),"",N(E1357)-N(F1357))</f>
        <v/>
      </c>
      <c r="N1357" s="28" t="n"/>
    </row>
    <row r="1358">
      <c r="A1358" s="27" t="n"/>
      <c r="B1358" s="28" t="n"/>
      <c r="C1358" s="28" t="n"/>
      <c r="D1358" s="28" t="n"/>
      <c r="E1358" s="29" t="n"/>
      <c r="F1358" s="29" t="n"/>
      <c r="G1358" s="28" t="n"/>
      <c r="H1358" s="28" t="n"/>
      <c r="I1358" s="28" t="n"/>
      <c r="J1358" s="28" t="n"/>
      <c r="K1358" s="24">
        <f>IF(D1358="","",IFERROR(INDEX(Setup!$B$24:$B$59,MATCH(D1358,Setup!$A$24:$A$59,0)),"Check category"))</f>
        <v/>
      </c>
      <c r="L1358" s="25">
        <f>IF(A1358="","",DATE(YEAR(A1358),MONTH(A1358),1))</f>
        <v/>
      </c>
      <c r="M1358" s="26">
        <f>IF(AND(E1358="",F1358=""),"",N(E1358)-N(F1358))</f>
        <v/>
      </c>
      <c r="N1358" s="28" t="n"/>
    </row>
    <row r="1359">
      <c r="A1359" s="27" t="n"/>
      <c r="B1359" s="28" t="n"/>
      <c r="C1359" s="28" t="n"/>
      <c r="D1359" s="28" t="n"/>
      <c r="E1359" s="29" t="n"/>
      <c r="F1359" s="29" t="n"/>
      <c r="G1359" s="28" t="n"/>
      <c r="H1359" s="28" t="n"/>
      <c r="I1359" s="28" t="n"/>
      <c r="J1359" s="28" t="n"/>
      <c r="K1359" s="24">
        <f>IF(D1359="","",IFERROR(INDEX(Setup!$B$24:$B$59,MATCH(D1359,Setup!$A$24:$A$59,0)),"Check category"))</f>
        <v/>
      </c>
      <c r="L1359" s="25">
        <f>IF(A1359="","",DATE(YEAR(A1359),MONTH(A1359),1))</f>
        <v/>
      </c>
      <c r="M1359" s="26">
        <f>IF(AND(E1359="",F1359=""),"",N(E1359)-N(F1359))</f>
        <v/>
      </c>
      <c r="N1359" s="28" t="n"/>
    </row>
    <row r="1360">
      <c r="A1360" s="27" t="n"/>
      <c r="B1360" s="28" t="n"/>
      <c r="C1360" s="28" t="n"/>
      <c r="D1360" s="28" t="n"/>
      <c r="E1360" s="29" t="n"/>
      <c r="F1360" s="29" t="n"/>
      <c r="G1360" s="28" t="n"/>
      <c r="H1360" s="28" t="n"/>
      <c r="I1360" s="28" t="n"/>
      <c r="J1360" s="28" t="n"/>
      <c r="K1360" s="24">
        <f>IF(D1360="","",IFERROR(INDEX(Setup!$B$24:$B$59,MATCH(D1360,Setup!$A$24:$A$59,0)),"Check category"))</f>
        <v/>
      </c>
      <c r="L1360" s="25">
        <f>IF(A1360="","",DATE(YEAR(A1360),MONTH(A1360),1))</f>
        <v/>
      </c>
      <c r="M1360" s="26">
        <f>IF(AND(E1360="",F1360=""),"",N(E1360)-N(F1360))</f>
        <v/>
      </c>
      <c r="N1360" s="28" t="n"/>
    </row>
    <row r="1361">
      <c r="A1361" s="27" t="n"/>
      <c r="B1361" s="28" t="n"/>
      <c r="C1361" s="28" t="n"/>
      <c r="D1361" s="28" t="n"/>
      <c r="E1361" s="29" t="n"/>
      <c r="F1361" s="29" t="n"/>
      <c r="G1361" s="28" t="n"/>
      <c r="H1361" s="28" t="n"/>
      <c r="I1361" s="28" t="n"/>
      <c r="J1361" s="28" t="n"/>
      <c r="K1361" s="24">
        <f>IF(D1361="","",IFERROR(INDEX(Setup!$B$24:$B$59,MATCH(D1361,Setup!$A$24:$A$59,0)),"Check category"))</f>
        <v/>
      </c>
      <c r="L1361" s="25">
        <f>IF(A1361="","",DATE(YEAR(A1361),MONTH(A1361),1))</f>
        <v/>
      </c>
      <c r="M1361" s="26">
        <f>IF(AND(E1361="",F1361=""),"",N(E1361)-N(F1361))</f>
        <v/>
      </c>
      <c r="N1361" s="28" t="n"/>
    </row>
    <row r="1362">
      <c r="A1362" s="27" t="n"/>
      <c r="B1362" s="28" t="n"/>
      <c r="C1362" s="28" t="n"/>
      <c r="D1362" s="28" t="n"/>
      <c r="E1362" s="29" t="n"/>
      <c r="F1362" s="29" t="n"/>
      <c r="G1362" s="28" t="n"/>
      <c r="H1362" s="28" t="n"/>
      <c r="I1362" s="28" t="n"/>
      <c r="J1362" s="28" t="n"/>
      <c r="K1362" s="24">
        <f>IF(D1362="","",IFERROR(INDEX(Setup!$B$24:$B$59,MATCH(D1362,Setup!$A$24:$A$59,0)),"Check category"))</f>
        <v/>
      </c>
      <c r="L1362" s="25">
        <f>IF(A1362="","",DATE(YEAR(A1362),MONTH(A1362),1))</f>
        <v/>
      </c>
      <c r="M1362" s="26">
        <f>IF(AND(E1362="",F1362=""),"",N(E1362)-N(F1362))</f>
        <v/>
      </c>
      <c r="N1362" s="28" t="n"/>
    </row>
    <row r="1363">
      <c r="A1363" s="27" t="n"/>
      <c r="B1363" s="28" t="n"/>
      <c r="C1363" s="28" t="n"/>
      <c r="D1363" s="28" t="n"/>
      <c r="E1363" s="29" t="n"/>
      <c r="F1363" s="29" t="n"/>
      <c r="G1363" s="28" t="n"/>
      <c r="H1363" s="28" t="n"/>
      <c r="I1363" s="28" t="n"/>
      <c r="J1363" s="28" t="n"/>
      <c r="K1363" s="24">
        <f>IF(D1363="","",IFERROR(INDEX(Setup!$B$24:$B$59,MATCH(D1363,Setup!$A$24:$A$59,0)),"Check category"))</f>
        <v/>
      </c>
      <c r="L1363" s="25">
        <f>IF(A1363="","",DATE(YEAR(A1363),MONTH(A1363),1))</f>
        <v/>
      </c>
      <c r="M1363" s="26">
        <f>IF(AND(E1363="",F1363=""),"",N(E1363)-N(F1363))</f>
        <v/>
      </c>
      <c r="N1363" s="28" t="n"/>
    </row>
    <row r="1364">
      <c r="A1364" s="27" t="n"/>
      <c r="B1364" s="28" t="n"/>
      <c r="C1364" s="28" t="n"/>
      <c r="D1364" s="28" t="n"/>
      <c r="E1364" s="29" t="n"/>
      <c r="F1364" s="29" t="n"/>
      <c r="G1364" s="28" t="n"/>
      <c r="H1364" s="28" t="n"/>
      <c r="I1364" s="28" t="n"/>
      <c r="J1364" s="28" t="n"/>
      <c r="K1364" s="24">
        <f>IF(D1364="","",IFERROR(INDEX(Setup!$B$24:$B$59,MATCH(D1364,Setup!$A$24:$A$59,0)),"Check category"))</f>
        <v/>
      </c>
      <c r="L1364" s="25">
        <f>IF(A1364="","",DATE(YEAR(A1364),MONTH(A1364),1))</f>
        <v/>
      </c>
      <c r="M1364" s="26">
        <f>IF(AND(E1364="",F1364=""),"",N(E1364)-N(F1364))</f>
        <v/>
      </c>
      <c r="N1364" s="28" t="n"/>
    </row>
    <row r="1365">
      <c r="A1365" s="27" t="n"/>
      <c r="B1365" s="28" t="n"/>
      <c r="C1365" s="28" t="n"/>
      <c r="D1365" s="28" t="n"/>
      <c r="E1365" s="29" t="n"/>
      <c r="F1365" s="29" t="n"/>
      <c r="G1365" s="28" t="n"/>
      <c r="H1365" s="28" t="n"/>
      <c r="I1365" s="28" t="n"/>
      <c r="J1365" s="28" t="n"/>
      <c r="K1365" s="24">
        <f>IF(D1365="","",IFERROR(INDEX(Setup!$B$24:$B$59,MATCH(D1365,Setup!$A$24:$A$59,0)),"Check category"))</f>
        <v/>
      </c>
      <c r="L1365" s="25">
        <f>IF(A1365="","",DATE(YEAR(A1365),MONTH(A1365),1))</f>
        <v/>
      </c>
      <c r="M1365" s="26">
        <f>IF(AND(E1365="",F1365=""),"",N(E1365)-N(F1365))</f>
        <v/>
      </c>
      <c r="N1365" s="28" t="n"/>
    </row>
    <row r="1366">
      <c r="A1366" s="27" t="n"/>
      <c r="B1366" s="28" t="n"/>
      <c r="C1366" s="28" t="n"/>
      <c r="D1366" s="28" t="n"/>
      <c r="E1366" s="29" t="n"/>
      <c r="F1366" s="29" t="n"/>
      <c r="G1366" s="28" t="n"/>
      <c r="H1366" s="28" t="n"/>
      <c r="I1366" s="28" t="n"/>
      <c r="J1366" s="28" t="n"/>
      <c r="K1366" s="24">
        <f>IF(D1366="","",IFERROR(INDEX(Setup!$B$24:$B$59,MATCH(D1366,Setup!$A$24:$A$59,0)),"Check category"))</f>
        <v/>
      </c>
      <c r="L1366" s="25">
        <f>IF(A1366="","",DATE(YEAR(A1366),MONTH(A1366),1))</f>
        <v/>
      </c>
      <c r="M1366" s="26">
        <f>IF(AND(E1366="",F1366=""),"",N(E1366)-N(F1366))</f>
        <v/>
      </c>
      <c r="N1366" s="28" t="n"/>
    </row>
    <row r="1367">
      <c r="A1367" s="27" t="n"/>
      <c r="B1367" s="28" t="n"/>
      <c r="C1367" s="28" t="n"/>
      <c r="D1367" s="28" t="n"/>
      <c r="E1367" s="29" t="n"/>
      <c r="F1367" s="29" t="n"/>
      <c r="G1367" s="28" t="n"/>
      <c r="H1367" s="28" t="n"/>
      <c r="I1367" s="28" t="n"/>
      <c r="J1367" s="28" t="n"/>
      <c r="K1367" s="24">
        <f>IF(D1367="","",IFERROR(INDEX(Setup!$B$24:$B$59,MATCH(D1367,Setup!$A$24:$A$59,0)),"Check category"))</f>
        <v/>
      </c>
      <c r="L1367" s="25">
        <f>IF(A1367="","",DATE(YEAR(A1367),MONTH(A1367),1))</f>
        <v/>
      </c>
      <c r="M1367" s="26">
        <f>IF(AND(E1367="",F1367=""),"",N(E1367)-N(F1367))</f>
        <v/>
      </c>
      <c r="N1367" s="28" t="n"/>
    </row>
    <row r="1368">
      <c r="A1368" s="27" t="n"/>
      <c r="B1368" s="28" t="n"/>
      <c r="C1368" s="28" t="n"/>
      <c r="D1368" s="28" t="n"/>
      <c r="E1368" s="29" t="n"/>
      <c r="F1368" s="29" t="n"/>
      <c r="G1368" s="28" t="n"/>
      <c r="H1368" s="28" t="n"/>
      <c r="I1368" s="28" t="n"/>
      <c r="J1368" s="28" t="n"/>
      <c r="K1368" s="24">
        <f>IF(D1368="","",IFERROR(INDEX(Setup!$B$24:$B$59,MATCH(D1368,Setup!$A$24:$A$59,0)),"Check category"))</f>
        <v/>
      </c>
      <c r="L1368" s="25">
        <f>IF(A1368="","",DATE(YEAR(A1368),MONTH(A1368),1))</f>
        <v/>
      </c>
      <c r="M1368" s="26">
        <f>IF(AND(E1368="",F1368=""),"",N(E1368)-N(F1368))</f>
        <v/>
      </c>
      <c r="N1368" s="28" t="n"/>
    </row>
    <row r="1369">
      <c r="A1369" s="27" t="n"/>
      <c r="B1369" s="28" t="n"/>
      <c r="C1369" s="28" t="n"/>
      <c r="D1369" s="28" t="n"/>
      <c r="E1369" s="29" t="n"/>
      <c r="F1369" s="29" t="n"/>
      <c r="G1369" s="28" t="n"/>
      <c r="H1369" s="28" t="n"/>
      <c r="I1369" s="28" t="n"/>
      <c r="J1369" s="28" t="n"/>
      <c r="K1369" s="24">
        <f>IF(D1369="","",IFERROR(INDEX(Setup!$B$24:$B$59,MATCH(D1369,Setup!$A$24:$A$59,0)),"Check category"))</f>
        <v/>
      </c>
      <c r="L1369" s="25">
        <f>IF(A1369="","",DATE(YEAR(A1369),MONTH(A1369),1))</f>
        <v/>
      </c>
      <c r="M1369" s="26">
        <f>IF(AND(E1369="",F1369=""),"",N(E1369)-N(F1369))</f>
        <v/>
      </c>
      <c r="N1369" s="28" t="n"/>
    </row>
    <row r="1370">
      <c r="A1370" s="27" t="n"/>
      <c r="B1370" s="28" t="n"/>
      <c r="C1370" s="28" t="n"/>
      <c r="D1370" s="28" t="n"/>
      <c r="E1370" s="29" t="n"/>
      <c r="F1370" s="29" t="n"/>
      <c r="G1370" s="28" t="n"/>
      <c r="H1370" s="28" t="n"/>
      <c r="I1370" s="28" t="n"/>
      <c r="J1370" s="28" t="n"/>
      <c r="K1370" s="24">
        <f>IF(D1370="","",IFERROR(INDEX(Setup!$B$24:$B$59,MATCH(D1370,Setup!$A$24:$A$59,0)),"Check category"))</f>
        <v/>
      </c>
      <c r="L1370" s="25">
        <f>IF(A1370="","",DATE(YEAR(A1370),MONTH(A1370),1))</f>
        <v/>
      </c>
      <c r="M1370" s="26">
        <f>IF(AND(E1370="",F1370=""),"",N(E1370)-N(F1370))</f>
        <v/>
      </c>
      <c r="N1370" s="28" t="n"/>
    </row>
    <row r="1371">
      <c r="A1371" s="27" t="n"/>
      <c r="B1371" s="28" t="n"/>
      <c r="C1371" s="28" t="n"/>
      <c r="D1371" s="28" t="n"/>
      <c r="E1371" s="29" t="n"/>
      <c r="F1371" s="29" t="n"/>
      <c r="G1371" s="28" t="n"/>
      <c r="H1371" s="28" t="n"/>
      <c r="I1371" s="28" t="n"/>
      <c r="J1371" s="28" t="n"/>
      <c r="K1371" s="24">
        <f>IF(D1371="","",IFERROR(INDEX(Setup!$B$24:$B$59,MATCH(D1371,Setup!$A$24:$A$59,0)),"Check category"))</f>
        <v/>
      </c>
      <c r="L1371" s="25">
        <f>IF(A1371="","",DATE(YEAR(A1371),MONTH(A1371),1))</f>
        <v/>
      </c>
      <c r="M1371" s="26">
        <f>IF(AND(E1371="",F1371=""),"",N(E1371)-N(F1371))</f>
        <v/>
      </c>
      <c r="N1371" s="28" t="n"/>
    </row>
    <row r="1372">
      <c r="A1372" s="27" t="n"/>
      <c r="B1372" s="28" t="n"/>
      <c r="C1372" s="28" t="n"/>
      <c r="D1372" s="28" t="n"/>
      <c r="E1372" s="29" t="n"/>
      <c r="F1372" s="29" t="n"/>
      <c r="G1372" s="28" t="n"/>
      <c r="H1372" s="28" t="n"/>
      <c r="I1372" s="28" t="n"/>
      <c r="J1372" s="28" t="n"/>
      <c r="K1372" s="24">
        <f>IF(D1372="","",IFERROR(INDEX(Setup!$B$24:$B$59,MATCH(D1372,Setup!$A$24:$A$59,0)),"Check category"))</f>
        <v/>
      </c>
      <c r="L1372" s="25">
        <f>IF(A1372="","",DATE(YEAR(A1372),MONTH(A1372),1))</f>
        <v/>
      </c>
      <c r="M1372" s="26">
        <f>IF(AND(E1372="",F1372=""),"",N(E1372)-N(F1372))</f>
        <v/>
      </c>
      <c r="N1372" s="28" t="n"/>
    </row>
    <row r="1373">
      <c r="A1373" s="27" t="n"/>
      <c r="B1373" s="28" t="n"/>
      <c r="C1373" s="28" t="n"/>
      <c r="D1373" s="28" t="n"/>
      <c r="E1373" s="29" t="n"/>
      <c r="F1373" s="29" t="n"/>
      <c r="G1373" s="28" t="n"/>
      <c r="H1373" s="28" t="n"/>
      <c r="I1373" s="28" t="n"/>
      <c r="J1373" s="28" t="n"/>
      <c r="K1373" s="24">
        <f>IF(D1373="","",IFERROR(INDEX(Setup!$B$24:$B$59,MATCH(D1373,Setup!$A$24:$A$59,0)),"Check category"))</f>
        <v/>
      </c>
      <c r="L1373" s="25">
        <f>IF(A1373="","",DATE(YEAR(A1373),MONTH(A1373),1))</f>
        <v/>
      </c>
      <c r="M1373" s="26">
        <f>IF(AND(E1373="",F1373=""),"",N(E1373)-N(F1373))</f>
        <v/>
      </c>
      <c r="N1373" s="28" t="n"/>
    </row>
    <row r="1374">
      <c r="A1374" s="27" t="n"/>
      <c r="B1374" s="28" t="n"/>
      <c r="C1374" s="28" t="n"/>
      <c r="D1374" s="28" t="n"/>
      <c r="E1374" s="29" t="n"/>
      <c r="F1374" s="29" t="n"/>
      <c r="G1374" s="28" t="n"/>
      <c r="H1374" s="28" t="n"/>
      <c r="I1374" s="28" t="n"/>
      <c r="J1374" s="28" t="n"/>
      <c r="K1374" s="24">
        <f>IF(D1374="","",IFERROR(INDEX(Setup!$B$24:$B$59,MATCH(D1374,Setup!$A$24:$A$59,0)),"Check category"))</f>
        <v/>
      </c>
      <c r="L1374" s="25">
        <f>IF(A1374="","",DATE(YEAR(A1374),MONTH(A1374),1))</f>
        <v/>
      </c>
      <c r="M1374" s="26">
        <f>IF(AND(E1374="",F1374=""),"",N(E1374)-N(F1374))</f>
        <v/>
      </c>
      <c r="N1374" s="28" t="n"/>
    </row>
    <row r="1375">
      <c r="A1375" s="27" t="n"/>
      <c r="B1375" s="28" t="n"/>
      <c r="C1375" s="28" t="n"/>
      <c r="D1375" s="28" t="n"/>
      <c r="E1375" s="29" t="n"/>
      <c r="F1375" s="29" t="n"/>
      <c r="G1375" s="28" t="n"/>
      <c r="H1375" s="28" t="n"/>
      <c r="I1375" s="28" t="n"/>
      <c r="J1375" s="28" t="n"/>
      <c r="K1375" s="24">
        <f>IF(D1375="","",IFERROR(INDEX(Setup!$B$24:$B$59,MATCH(D1375,Setup!$A$24:$A$59,0)),"Check category"))</f>
        <v/>
      </c>
      <c r="L1375" s="25">
        <f>IF(A1375="","",DATE(YEAR(A1375),MONTH(A1375),1))</f>
        <v/>
      </c>
      <c r="M1375" s="26">
        <f>IF(AND(E1375="",F1375=""),"",N(E1375)-N(F1375))</f>
        <v/>
      </c>
      <c r="N1375" s="28" t="n"/>
    </row>
    <row r="1376">
      <c r="A1376" s="27" t="n"/>
      <c r="B1376" s="28" t="n"/>
      <c r="C1376" s="28" t="n"/>
      <c r="D1376" s="28" t="n"/>
      <c r="E1376" s="29" t="n"/>
      <c r="F1376" s="29" t="n"/>
      <c r="G1376" s="28" t="n"/>
      <c r="H1376" s="28" t="n"/>
      <c r="I1376" s="28" t="n"/>
      <c r="J1376" s="28" t="n"/>
      <c r="K1376" s="24">
        <f>IF(D1376="","",IFERROR(INDEX(Setup!$B$24:$B$59,MATCH(D1376,Setup!$A$24:$A$59,0)),"Check category"))</f>
        <v/>
      </c>
      <c r="L1376" s="25">
        <f>IF(A1376="","",DATE(YEAR(A1376),MONTH(A1376),1))</f>
        <v/>
      </c>
      <c r="M1376" s="26">
        <f>IF(AND(E1376="",F1376=""),"",N(E1376)-N(F1376))</f>
        <v/>
      </c>
      <c r="N1376" s="28" t="n"/>
    </row>
    <row r="1377">
      <c r="A1377" s="27" t="n"/>
      <c r="B1377" s="28" t="n"/>
      <c r="C1377" s="28" t="n"/>
      <c r="D1377" s="28" t="n"/>
      <c r="E1377" s="29" t="n"/>
      <c r="F1377" s="29" t="n"/>
      <c r="G1377" s="28" t="n"/>
      <c r="H1377" s="28" t="n"/>
      <c r="I1377" s="28" t="n"/>
      <c r="J1377" s="28" t="n"/>
      <c r="K1377" s="24">
        <f>IF(D1377="","",IFERROR(INDEX(Setup!$B$24:$B$59,MATCH(D1377,Setup!$A$24:$A$59,0)),"Check category"))</f>
        <v/>
      </c>
      <c r="L1377" s="25">
        <f>IF(A1377="","",DATE(YEAR(A1377),MONTH(A1377),1))</f>
        <v/>
      </c>
      <c r="M1377" s="26">
        <f>IF(AND(E1377="",F1377=""),"",N(E1377)-N(F1377))</f>
        <v/>
      </c>
      <c r="N1377" s="28" t="n"/>
    </row>
    <row r="1378">
      <c r="A1378" s="27" t="n"/>
      <c r="B1378" s="28" t="n"/>
      <c r="C1378" s="28" t="n"/>
      <c r="D1378" s="28" t="n"/>
      <c r="E1378" s="29" t="n"/>
      <c r="F1378" s="29" t="n"/>
      <c r="G1378" s="28" t="n"/>
      <c r="H1378" s="28" t="n"/>
      <c r="I1378" s="28" t="n"/>
      <c r="J1378" s="28" t="n"/>
      <c r="K1378" s="24">
        <f>IF(D1378="","",IFERROR(INDEX(Setup!$B$24:$B$59,MATCH(D1378,Setup!$A$24:$A$59,0)),"Check category"))</f>
        <v/>
      </c>
      <c r="L1378" s="25">
        <f>IF(A1378="","",DATE(YEAR(A1378),MONTH(A1378),1))</f>
        <v/>
      </c>
      <c r="M1378" s="26">
        <f>IF(AND(E1378="",F1378=""),"",N(E1378)-N(F1378))</f>
        <v/>
      </c>
      <c r="N1378" s="28" t="n"/>
    </row>
    <row r="1379">
      <c r="A1379" s="27" t="n"/>
      <c r="B1379" s="28" t="n"/>
      <c r="C1379" s="28" t="n"/>
      <c r="D1379" s="28" t="n"/>
      <c r="E1379" s="29" t="n"/>
      <c r="F1379" s="29" t="n"/>
      <c r="G1379" s="28" t="n"/>
      <c r="H1379" s="28" t="n"/>
      <c r="I1379" s="28" t="n"/>
      <c r="J1379" s="28" t="n"/>
      <c r="K1379" s="24">
        <f>IF(D1379="","",IFERROR(INDEX(Setup!$B$24:$B$59,MATCH(D1379,Setup!$A$24:$A$59,0)),"Check category"))</f>
        <v/>
      </c>
      <c r="L1379" s="25">
        <f>IF(A1379="","",DATE(YEAR(A1379),MONTH(A1379),1))</f>
        <v/>
      </c>
      <c r="M1379" s="26">
        <f>IF(AND(E1379="",F1379=""),"",N(E1379)-N(F1379))</f>
        <v/>
      </c>
      <c r="N1379" s="28" t="n"/>
    </row>
    <row r="1380">
      <c r="A1380" s="27" t="n"/>
      <c r="B1380" s="28" t="n"/>
      <c r="C1380" s="28" t="n"/>
      <c r="D1380" s="28" t="n"/>
      <c r="E1380" s="29" t="n"/>
      <c r="F1380" s="29" t="n"/>
      <c r="G1380" s="28" t="n"/>
      <c r="H1380" s="28" t="n"/>
      <c r="I1380" s="28" t="n"/>
      <c r="J1380" s="28" t="n"/>
      <c r="K1380" s="24">
        <f>IF(D1380="","",IFERROR(INDEX(Setup!$B$24:$B$59,MATCH(D1380,Setup!$A$24:$A$59,0)),"Check category"))</f>
        <v/>
      </c>
      <c r="L1380" s="25">
        <f>IF(A1380="","",DATE(YEAR(A1380),MONTH(A1380),1))</f>
        <v/>
      </c>
      <c r="M1380" s="26">
        <f>IF(AND(E1380="",F1380=""),"",N(E1380)-N(F1380))</f>
        <v/>
      </c>
      <c r="N1380" s="28" t="n"/>
    </row>
    <row r="1381">
      <c r="A1381" s="27" t="n"/>
      <c r="B1381" s="28" t="n"/>
      <c r="C1381" s="28" t="n"/>
      <c r="D1381" s="28" t="n"/>
      <c r="E1381" s="29" t="n"/>
      <c r="F1381" s="29" t="n"/>
      <c r="G1381" s="28" t="n"/>
      <c r="H1381" s="28" t="n"/>
      <c r="I1381" s="28" t="n"/>
      <c r="J1381" s="28" t="n"/>
      <c r="K1381" s="24">
        <f>IF(D1381="","",IFERROR(INDEX(Setup!$B$24:$B$59,MATCH(D1381,Setup!$A$24:$A$59,0)),"Check category"))</f>
        <v/>
      </c>
      <c r="L1381" s="25">
        <f>IF(A1381="","",DATE(YEAR(A1381),MONTH(A1381),1))</f>
        <v/>
      </c>
      <c r="M1381" s="26">
        <f>IF(AND(E1381="",F1381=""),"",N(E1381)-N(F1381))</f>
        <v/>
      </c>
      <c r="N1381" s="28" t="n"/>
    </row>
    <row r="1382">
      <c r="A1382" s="27" t="n"/>
      <c r="B1382" s="28" t="n"/>
      <c r="C1382" s="28" t="n"/>
      <c r="D1382" s="28" t="n"/>
      <c r="E1382" s="29" t="n"/>
      <c r="F1382" s="29" t="n"/>
      <c r="G1382" s="28" t="n"/>
      <c r="H1382" s="28" t="n"/>
      <c r="I1382" s="28" t="n"/>
      <c r="J1382" s="28" t="n"/>
      <c r="K1382" s="24">
        <f>IF(D1382="","",IFERROR(INDEX(Setup!$B$24:$B$59,MATCH(D1382,Setup!$A$24:$A$59,0)),"Check category"))</f>
        <v/>
      </c>
      <c r="L1382" s="25">
        <f>IF(A1382="","",DATE(YEAR(A1382),MONTH(A1382),1))</f>
        <v/>
      </c>
      <c r="M1382" s="26">
        <f>IF(AND(E1382="",F1382=""),"",N(E1382)-N(F1382))</f>
        <v/>
      </c>
      <c r="N1382" s="28" t="n"/>
    </row>
    <row r="1383">
      <c r="A1383" s="27" t="n"/>
      <c r="B1383" s="28" t="n"/>
      <c r="C1383" s="28" t="n"/>
      <c r="D1383" s="28" t="n"/>
      <c r="E1383" s="29" t="n"/>
      <c r="F1383" s="29" t="n"/>
      <c r="G1383" s="28" t="n"/>
      <c r="H1383" s="28" t="n"/>
      <c r="I1383" s="28" t="n"/>
      <c r="J1383" s="28" t="n"/>
      <c r="K1383" s="24">
        <f>IF(D1383="","",IFERROR(INDEX(Setup!$B$24:$B$59,MATCH(D1383,Setup!$A$24:$A$59,0)),"Check category"))</f>
        <v/>
      </c>
      <c r="L1383" s="25">
        <f>IF(A1383="","",DATE(YEAR(A1383),MONTH(A1383),1))</f>
        <v/>
      </c>
      <c r="M1383" s="26">
        <f>IF(AND(E1383="",F1383=""),"",N(E1383)-N(F1383))</f>
        <v/>
      </c>
      <c r="N1383" s="28" t="n"/>
    </row>
    <row r="1384">
      <c r="A1384" s="27" t="n"/>
      <c r="B1384" s="28" t="n"/>
      <c r="C1384" s="28" t="n"/>
      <c r="D1384" s="28" t="n"/>
      <c r="E1384" s="29" t="n"/>
      <c r="F1384" s="29" t="n"/>
      <c r="G1384" s="28" t="n"/>
      <c r="H1384" s="28" t="n"/>
      <c r="I1384" s="28" t="n"/>
      <c r="J1384" s="28" t="n"/>
      <c r="K1384" s="24">
        <f>IF(D1384="","",IFERROR(INDEX(Setup!$B$24:$B$59,MATCH(D1384,Setup!$A$24:$A$59,0)),"Check category"))</f>
        <v/>
      </c>
      <c r="L1384" s="25">
        <f>IF(A1384="","",DATE(YEAR(A1384),MONTH(A1384),1))</f>
        <v/>
      </c>
      <c r="M1384" s="26">
        <f>IF(AND(E1384="",F1384=""),"",N(E1384)-N(F1384))</f>
        <v/>
      </c>
      <c r="N1384" s="28" t="n"/>
    </row>
    <row r="1385">
      <c r="A1385" s="27" t="n"/>
      <c r="B1385" s="28" t="n"/>
      <c r="C1385" s="28" t="n"/>
      <c r="D1385" s="28" t="n"/>
      <c r="E1385" s="29" t="n"/>
      <c r="F1385" s="29" t="n"/>
      <c r="G1385" s="28" t="n"/>
      <c r="H1385" s="28" t="n"/>
      <c r="I1385" s="28" t="n"/>
      <c r="J1385" s="28" t="n"/>
      <c r="K1385" s="24">
        <f>IF(D1385="","",IFERROR(INDEX(Setup!$B$24:$B$59,MATCH(D1385,Setup!$A$24:$A$59,0)),"Check category"))</f>
        <v/>
      </c>
      <c r="L1385" s="25">
        <f>IF(A1385="","",DATE(YEAR(A1385),MONTH(A1385),1))</f>
        <v/>
      </c>
      <c r="M1385" s="26">
        <f>IF(AND(E1385="",F1385=""),"",N(E1385)-N(F1385))</f>
        <v/>
      </c>
      <c r="N1385" s="28" t="n"/>
    </row>
    <row r="1386">
      <c r="A1386" s="27" t="n"/>
      <c r="B1386" s="28" t="n"/>
      <c r="C1386" s="28" t="n"/>
      <c r="D1386" s="28" t="n"/>
      <c r="E1386" s="29" t="n"/>
      <c r="F1386" s="29" t="n"/>
      <c r="G1386" s="28" t="n"/>
      <c r="H1386" s="28" t="n"/>
      <c r="I1386" s="28" t="n"/>
      <c r="J1386" s="28" t="n"/>
      <c r="K1386" s="24">
        <f>IF(D1386="","",IFERROR(INDEX(Setup!$B$24:$B$59,MATCH(D1386,Setup!$A$24:$A$59,0)),"Check category"))</f>
        <v/>
      </c>
      <c r="L1386" s="25">
        <f>IF(A1386="","",DATE(YEAR(A1386),MONTH(A1386),1))</f>
        <v/>
      </c>
      <c r="M1386" s="26">
        <f>IF(AND(E1386="",F1386=""),"",N(E1386)-N(F1386))</f>
        <v/>
      </c>
      <c r="N1386" s="28" t="n"/>
    </row>
    <row r="1387">
      <c r="A1387" s="27" t="n"/>
      <c r="B1387" s="28" t="n"/>
      <c r="C1387" s="28" t="n"/>
      <c r="D1387" s="28" t="n"/>
      <c r="E1387" s="29" t="n"/>
      <c r="F1387" s="29" t="n"/>
      <c r="G1387" s="28" t="n"/>
      <c r="H1387" s="28" t="n"/>
      <c r="I1387" s="28" t="n"/>
      <c r="J1387" s="28" t="n"/>
      <c r="K1387" s="24">
        <f>IF(D1387="","",IFERROR(INDEX(Setup!$B$24:$B$59,MATCH(D1387,Setup!$A$24:$A$59,0)),"Check category"))</f>
        <v/>
      </c>
      <c r="L1387" s="25">
        <f>IF(A1387="","",DATE(YEAR(A1387),MONTH(A1387),1))</f>
        <v/>
      </c>
      <c r="M1387" s="26">
        <f>IF(AND(E1387="",F1387=""),"",N(E1387)-N(F1387))</f>
        <v/>
      </c>
      <c r="N1387" s="28" t="n"/>
    </row>
    <row r="1388">
      <c r="A1388" s="27" t="n"/>
      <c r="B1388" s="28" t="n"/>
      <c r="C1388" s="28" t="n"/>
      <c r="D1388" s="28" t="n"/>
      <c r="E1388" s="29" t="n"/>
      <c r="F1388" s="29" t="n"/>
      <c r="G1388" s="28" t="n"/>
      <c r="H1388" s="28" t="n"/>
      <c r="I1388" s="28" t="n"/>
      <c r="J1388" s="28" t="n"/>
      <c r="K1388" s="24">
        <f>IF(D1388="","",IFERROR(INDEX(Setup!$B$24:$B$59,MATCH(D1388,Setup!$A$24:$A$59,0)),"Check category"))</f>
        <v/>
      </c>
      <c r="L1388" s="25">
        <f>IF(A1388="","",DATE(YEAR(A1388),MONTH(A1388),1))</f>
        <v/>
      </c>
      <c r="M1388" s="26">
        <f>IF(AND(E1388="",F1388=""),"",N(E1388)-N(F1388))</f>
        <v/>
      </c>
      <c r="N1388" s="28" t="n"/>
    </row>
    <row r="1389">
      <c r="A1389" s="27" t="n"/>
      <c r="B1389" s="28" t="n"/>
      <c r="C1389" s="28" t="n"/>
      <c r="D1389" s="28" t="n"/>
      <c r="E1389" s="29" t="n"/>
      <c r="F1389" s="29" t="n"/>
      <c r="G1389" s="28" t="n"/>
      <c r="H1389" s="28" t="n"/>
      <c r="I1389" s="28" t="n"/>
      <c r="J1389" s="28" t="n"/>
      <c r="K1389" s="24">
        <f>IF(D1389="","",IFERROR(INDEX(Setup!$B$24:$B$59,MATCH(D1389,Setup!$A$24:$A$59,0)),"Check category"))</f>
        <v/>
      </c>
      <c r="L1389" s="25">
        <f>IF(A1389="","",DATE(YEAR(A1389),MONTH(A1389),1))</f>
        <v/>
      </c>
      <c r="M1389" s="26">
        <f>IF(AND(E1389="",F1389=""),"",N(E1389)-N(F1389))</f>
        <v/>
      </c>
      <c r="N1389" s="28" t="n"/>
    </row>
    <row r="1390">
      <c r="A1390" s="27" t="n"/>
      <c r="B1390" s="28" t="n"/>
      <c r="C1390" s="28" t="n"/>
      <c r="D1390" s="28" t="n"/>
      <c r="E1390" s="29" t="n"/>
      <c r="F1390" s="29" t="n"/>
      <c r="G1390" s="28" t="n"/>
      <c r="H1390" s="28" t="n"/>
      <c r="I1390" s="28" t="n"/>
      <c r="J1390" s="28" t="n"/>
      <c r="K1390" s="24">
        <f>IF(D1390="","",IFERROR(INDEX(Setup!$B$24:$B$59,MATCH(D1390,Setup!$A$24:$A$59,0)),"Check category"))</f>
        <v/>
      </c>
      <c r="L1390" s="25">
        <f>IF(A1390="","",DATE(YEAR(A1390),MONTH(A1390),1))</f>
        <v/>
      </c>
      <c r="M1390" s="26">
        <f>IF(AND(E1390="",F1390=""),"",N(E1390)-N(F1390))</f>
        <v/>
      </c>
      <c r="N1390" s="28" t="n"/>
    </row>
    <row r="1391">
      <c r="A1391" s="27" t="n"/>
      <c r="B1391" s="28" t="n"/>
      <c r="C1391" s="28" t="n"/>
      <c r="D1391" s="28" t="n"/>
      <c r="E1391" s="29" t="n"/>
      <c r="F1391" s="29" t="n"/>
      <c r="G1391" s="28" t="n"/>
      <c r="H1391" s="28" t="n"/>
      <c r="I1391" s="28" t="n"/>
      <c r="J1391" s="28" t="n"/>
      <c r="K1391" s="24">
        <f>IF(D1391="","",IFERROR(INDEX(Setup!$B$24:$B$59,MATCH(D1391,Setup!$A$24:$A$59,0)),"Check category"))</f>
        <v/>
      </c>
      <c r="L1391" s="25">
        <f>IF(A1391="","",DATE(YEAR(A1391),MONTH(A1391),1))</f>
        <v/>
      </c>
      <c r="M1391" s="26">
        <f>IF(AND(E1391="",F1391=""),"",N(E1391)-N(F1391))</f>
        <v/>
      </c>
      <c r="N1391" s="28" t="n"/>
    </row>
    <row r="1392">
      <c r="A1392" s="27" t="n"/>
      <c r="B1392" s="28" t="n"/>
      <c r="C1392" s="28" t="n"/>
      <c r="D1392" s="28" t="n"/>
      <c r="E1392" s="29" t="n"/>
      <c r="F1392" s="29" t="n"/>
      <c r="G1392" s="28" t="n"/>
      <c r="H1392" s="28" t="n"/>
      <c r="I1392" s="28" t="n"/>
      <c r="J1392" s="28" t="n"/>
      <c r="K1392" s="24">
        <f>IF(D1392="","",IFERROR(INDEX(Setup!$B$24:$B$59,MATCH(D1392,Setup!$A$24:$A$59,0)),"Check category"))</f>
        <v/>
      </c>
      <c r="L1392" s="25">
        <f>IF(A1392="","",DATE(YEAR(A1392),MONTH(A1392),1))</f>
        <v/>
      </c>
      <c r="M1392" s="26">
        <f>IF(AND(E1392="",F1392=""),"",N(E1392)-N(F1392))</f>
        <v/>
      </c>
      <c r="N1392" s="28" t="n"/>
    </row>
    <row r="1393">
      <c r="A1393" s="27" t="n"/>
      <c r="B1393" s="28" t="n"/>
      <c r="C1393" s="28" t="n"/>
      <c r="D1393" s="28" t="n"/>
      <c r="E1393" s="29" t="n"/>
      <c r="F1393" s="29" t="n"/>
      <c r="G1393" s="28" t="n"/>
      <c r="H1393" s="28" t="n"/>
      <c r="I1393" s="28" t="n"/>
      <c r="J1393" s="28" t="n"/>
      <c r="K1393" s="24">
        <f>IF(D1393="","",IFERROR(INDEX(Setup!$B$24:$B$59,MATCH(D1393,Setup!$A$24:$A$59,0)),"Check category"))</f>
        <v/>
      </c>
      <c r="L1393" s="25">
        <f>IF(A1393="","",DATE(YEAR(A1393),MONTH(A1393),1))</f>
        <v/>
      </c>
      <c r="M1393" s="26">
        <f>IF(AND(E1393="",F1393=""),"",N(E1393)-N(F1393))</f>
        <v/>
      </c>
      <c r="N1393" s="28" t="n"/>
    </row>
    <row r="1394">
      <c r="A1394" s="27" t="n"/>
      <c r="B1394" s="28" t="n"/>
      <c r="C1394" s="28" t="n"/>
      <c r="D1394" s="28" t="n"/>
      <c r="E1394" s="29" t="n"/>
      <c r="F1394" s="29" t="n"/>
      <c r="G1394" s="28" t="n"/>
      <c r="H1394" s="28" t="n"/>
      <c r="I1394" s="28" t="n"/>
      <c r="J1394" s="28" t="n"/>
      <c r="K1394" s="24">
        <f>IF(D1394="","",IFERROR(INDEX(Setup!$B$24:$B$59,MATCH(D1394,Setup!$A$24:$A$59,0)),"Check category"))</f>
        <v/>
      </c>
      <c r="L1394" s="25">
        <f>IF(A1394="","",DATE(YEAR(A1394),MONTH(A1394),1))</f>
        <v/>
      </c>
      <c r="M1394" s="26">
        <f>IF(AND(E1394="",F1394=""),"",N(E1394)-N(F1394))</f>
        <v/>
      </c>
      <c r="N1394" s="28" t="n"/>
    </row>
    <row r="1395">
      <c r="A1395" s="27" t="n"/>
      <c r="B1395" s="28" t="n"/>
      <c r="C1395" s="28" t="n"/>
      <c r="D1395" s="28" t="n"/>
      <c r="E1395" s="29" t="n"/>
      <c r="F1395" s="29" t="n"/>
      <c r="G1395" s="28" t="n"/>
      <c r="H1395" s="28" t="n"/>
      <c r="I1395" s="28" t="n"/>
      <c r="J1395" s="28" t="n"/>
      <c r="K1395" s="24">
        <f>IF(D1395="","",IFERROR(INDEX(Setup!$B$24:$B$59,MATCH(D1395,Setup!$A$24:$A$59,0)),"Check category"))</f>
        <v/>
      </c>
      <c r="L1395" s="25">
        <f>IF(A1395="","",DATE(YEAR(A1395),MONTH(A1395),1))</f>
        <v/>
      </c>
      <c r="M1395" s="26">
        <f>IF(AND(E1395="",F1395=""),"",N(E1395)-N(F1395))</f>
        <v/>
      </c>
      <c r="N1395" s="28" t="n"/>
    </row>
    <row r="1396">
      <c r="A1396" s="27" t="n"/>
      <c r="B1396" s="28" t="n"/>
      <c r="C1396" s="28" t="n"/>
      <c r="D1396" s="28" t="n"/>
      <c r="E1396" s="29" t="n"/>
      <c r="F1396" s="29" t="n"/>
      <c r="G1396" s="28" t="n"/>
      <c r="H1396" s="28" t="n"/>
      <c r="I1396" s="28" t="n"/>
      <c r="J1396" s="28" t="n"/>
      <c r="K1396" s="24">
        <f>IF(D1396="","",IFERROR(INDEX(Setup!$B$24:$B$59,MATCH(D1396,Setup!$A$24:$A$59,0)),"Check category"))</f>
        <v/>
      </c>
      <c r="L1396" s="25">
        <f>IF(A1396="","",DATE(YEAR(A1396),MONTH(A1396),1))</f>
        <v/>
      </c>
      <c r="M1396" s="26">
        <f>IF(AND(E1396="",F1396=""),"",N(E1396)-N(F1396))</f>
        <v/>
      </c>
      <c r="N1396" s="28" t="n"/>
    </row>
    <row r="1397">
      <c r="A1397" s="27" t="n"/>
      <c r="B1397" s="28" t="n"/>
      <c r="C1397" s="28" t="n"/>
      <c r="D1397" s="28" t="n"/>
      <c r="E1397" s="29" t="n"/>
      <c r="F1397" s="29" t="n"/>
      <c r="G1397" s="28" t="n"/>
      <c r="H1397" s="28" t="n"/>
      <c r="I1397" s="28" t="n"/>
      <c r="J1397" s="28" t="n"/>
      <c r="K1397" s="24">
        <f>IF(D1397="","",IFERROR(INDEX(Setup!$B$24:$B$59,MATCH(D1397,Setup!$A$24:$A$59,0)),"Check category"))</f>
        <v/>
      </c>
      <c r="L1397" s="25">
        <f>IF(A1397="","",DATE(YEAR(A1397),MONTH(A1397),1))</f>
        <v/>
      </c>
      <c r="M1397" s="26">
        <f>IF(AND(E1397="",F1397=""),"",N(E1397)-N(F1397))</f>
        <v/>
      </c>
      <c r="N1397" s="28" t="n"/>
    </row>
    <row r="1398">
      <c r="A1398" s="27" t="n"/>
      <c r="B1398" s="28" t="n"/>
      <c r="C1398" s="28" t="n"/>
      <c r="D1398" s="28" t="n"/>
      <c r="E1398" s="29" t="n"/>
      <c r="F1398" s="29" t="n"/>
      <c r="G1398" s="28" t="n"/>
      <c r="H1398" s="28" t="n"/>
      <c r="I1398" s="28" t="n"/>
      <c r="J1398" s="28" t="n"/>
      <c r="K1398" s="24">
        <f>IF(D1398="","",IFERROR(INDEX(Setup!$B$24:$B$59,MATCH(D1398,Setup!$A$24:$A$59,0)),"Check category"))</f>
        <v/>
      </c>
      <c r="L1398" s="25">
        <f>IF(A1398="","",DATE(YEAR(A1398),MONTH(A1398),1))</f>
        <v/>
      </c>
      <c r="M1398" s="26">
        <f>IF(AND(E1398="",F1398=""),"",N(E1398)-N(F1398))</f>
        <v/>
      </c>
      <c r="N1398" s="28" t="n"/>
    </row>
    <row r="1399">
      <c r="A1399" s="27" t="n"/>
      <c r="B1399" s="28" t="n"/>
      <c r="C1399" s="28" t="n"/>
      <c r="D1399" s="28" t="n"/>
      <c r="E1399" s="29" t="n"/>
      <c r="F1399" s="29" t="n"/>
      <c r="G1399" s="28" t="n"/>
      <c r="H1399" s="28" t="n"/>
      <c r="I1399" s="28" t="n"/>
      <c r="J1399" s="28" t="n"/>
      <c r="K1399" s="24">
        <f>IF(D1399="","",IFERROR(INDEX(Setup!$B$24:$B$59,MATCH(D1399,Setup!$A$24:$A$59,0)),"Check category"))</f>
        <v/>
      </c>
      <c r="L1399" s="25">
        <f>IF(A1399="","",DATE(YEAR(A1399),MONTH(A1399),1))</f>
        <v/>
      </c>
      <c r="M1399" s="26">
        <f>IF(AND(E1399="",F1399=""),"",N(E1399)-N(F1399))</f>
        <v/>
      </c>
      <c r="N1399" s="28" t="n"/>
    </row>
    <row r="1400">
      <c r="A1400" s="27" t="n"/>
      <c r="B1400" s="28" t="n"/>
      <c r="C1400" s="28" t="n"/>
      <c r="D1400" s="28" t="n"/>
      <c r="E1400" s="29" t="n"/>
      <c r="F1400" s="29" t="n"/>
      <c r="G1400" s="28" t="n"/>
      <c r="H1400" s="28" t="n"/>
      <c r="I1400" s="28" t="n"/>
      <c r="J1400" s="28" t="n"/>
      <c r="K1400" s="24">
        <f>IF(D1400="","",IFERROR(INDEX(Setup!$B$24:$B$59,MATCH(D1400,Setup!$A$24:$A$59,0)),"Check category"))</f>
        <v/>
      </c>
      <c r="L1400" s="25">
        <f>IF(A1400="","",DATE(YEAR(A1400),MONTH(A1400),1))</f>
        <v/>
      </c>
      <c r="M1400" s="26">
        <f>IF(AND(E1400="",F1400=""),"",N(E1400)-N(F1400))</f>
        <v/>
      </c>
      <c r="N1400" s="28" t="n"/>
    </row>
    <row r="1401">
      <c r="A1401" s="27" t="n"/>
      <c r="B1401" s="28" t="n"/>
      <c r="C1401" s="28" t="n"/>
      <c r="D1401" s="28" t="n"/>
      <c r="E1401" s="29" t="n"/>
      <c r="F1401" s="29" t="n"/>
      <c r="G1401" s="28" t="n"/>
      <c r="H1401" s="28" t="n"/>
      <c r="I1401" s="28" t="n"/>
      <c r="J1401" s="28" t="n"/>
      <c r="K1401" s="24">
        <f>IF(D1401="","",IFERROR(INDEX(Setup!$B$24:$B$59,MATCH(D1401,Setup!$A$24:$A$59,0)),"Check category"))</f>
        <v/>
      </c>
      <c r="L1401" s="25">
        <f>IF(A1401="","",DATE(YEAR(A1401),MONTH(A1401),1))</f>
        <v/>
      </c>
      <c r="M1401" s="26">
        <f>IF(AND(E1401="",F1401=""),"",N(E1401)-N(F1401))</f>
        <v/>
      </c>
      <c r="N1401" s="28" t="n"/>
    </row>
    <row r="1402">
      <c r="A1402" s="27" t="n"/>
      <c r="B1402" s="28" t="n"/>
      <c r="C1402" s="28" t="n"/>
      <c r="D1402" s="28" t="n"/>
      <c r="E1402" s="29" t="n"/>
      <c r="F1402" s="29" t="n"/>
      <c r="G1402" s="28" t="n"/>
      <c r="H1402" s="28" t="n"/>
      <c r="I1402" s="28" t="n"/>
      <c r="J1402" s="28" t="n"/>
      <c r="K1402" s="24">
        <f>IF(D1402="","",IFERROR(INDEX(Setup!$B$24:$B$59,MATCH(D1402,Setup!$A$24:$A$59,0)),"Check category"))</f>
        <v/>
      </c>
      <c r="L1402" s="25">
        <f>IF(A1402="","",DATE(YEAR(A1402),MONTH(A1402),1))</f>
        <v/>
      </c>
      <c r="M1402" s="26">
        <f>IF(AND(E1402="",F1402=""),"",N(E1402)-N(F1402))</f>
        <v/>
      </c>
      <c r="N1402" s="28" t="n"/>
    </row>
    <row r="1403">
      <c r="A1403" s="27" t="n"/>
      <c r="B1403" s="28" t="n"/>
      <c r="C1403" s="28" t="n"/>
      <c r="D1403" s="28" t="n"/>
      <c r="E1403" s="29" t="n"/>
      <c r="F1403" s="29" t="n"/>
      <c r="G1403" s="28" t="n"/>
      <c r="H1403" s="28" t="n"/>
      <c r="I1403" s="28" t="n"/>
      <c r="J1403" s="28" t="n"/>
      <c r="K1403" s="24">
        <f>IF(D1403="","",IFERROR(INDEX(Setup!$B$24:$B$59,MATCH(D1403,Setup!$A$24:$A$59,0)),"Check category"))</f>
        <v/>
      </c>
      <c r="L1403" s="25">
        <f>IF(A1403="","",DATE(YEAR(A1403),MONTH(A1403),1))</f>
        <v/>
      </c>
      <c r="M1403" s="26">
        <f>IF(AND(E1403="",F1403=""),"",N(E1403)-N(F1403))</f>
        <v/>
      </c>
      <c r="N1403" s="28" t="n"/>
    </row>
    <row r="1404">
      <c r="A1404" s="27" t="n"/>
      <c r="B1404" s="28" t="n"/>
      <c r="C1404" s="28" t="n"/>
      <c r="D1404" s="28" t="n"/>
      <c r="E1404" s="29" t="n"/>
      <c r="F1404" s="29" t="n"/>
      <c r="G1404" s="28" t="n"/>
      <c r="H1404" s="28" t="n"/>
      <c r="I1404" s="28" t="n"/>
      <c r="J1404" s="28" t="n"/>
      <c r="K1404" s="24">
        <f>IF(D1404="","",IFERROR(INDEX(Setup!$B$24:$B$59,MATCH(D1404,Setup!$A$24:$A$59,0)),"Check category"))</f>
        <v/>
      </c>
      <c r="L1404" s="25">
        <f>IF(A1404="","",DATE(YEAR(A1404),MONTH(A1404),1))</f>
        <v/>
      </c>
      <c r="M1404" s="26">
        <f>IF(AND(E1404="",F1404=""),"",N(E1404)-N(F1404))</f>
        <v/>
      </c>
      <c r="N1404" s="28" t="n"/>
    </row>
    <row r="1405">
      <c r="A1405" s="27" t="n"/>
      <c r="B1405" s="28" t="n"/>
      <c r="C1405" s="28" t="n"/>
      <c r="D1405" s="28" t="n"/>
      <c r="E1405" s="29" t="n"/>
      <c r="F1405" s="29" t="n"/>
      <c r="G1405" s="28" t="n"/>
      <c r="H1405" s="28" t="n"/>
      <c r="I1405" s="28" t="n"/>
      <c r="J1405" s="28" t="n"/>
      <c r="K1405" s="24">
        <f>IF(D1405="","",IFERROR(INDEX(Setup!$B$24:$B$59,MATCH(D1405,Setup!$A$24:$A$59,0)),"Check category"))</f>
        <v/>
      </c>
      <c r="L1405" s="25">
        <f>IF(A1405="","",DATE(YEAR(A1405),MONTH(A1405),1))</f>
        <v/>
      </c>
      <c r="M1405" s="26">
        <f>IF(AND(E1405="",F1405=""),"",N(E1405)-N(F1405))</f>
        <v/>
      </c>
      <c r="N1405" s="28" t="n"/>
    </row>
    <row r="1406">
      <c r="A1406" s="27" t="n"/>
      <c r="B1406" s="28" t="n"/>
      <c r="C1406" s="28" t="n"/>
      <c r="D1406" s="28" t="n"/>
      <c r="E1406" s="29" t="n"/>
      <c r="F1406" s="29" t="n"/>
      <c r="G1406" s="28" t="n"/>
      <c r="H1406" s="28" t="n"/>
      <c r="I1406" s="28" t="n"/>
      <c r="J1406" s="28" t="n"/>
      <c r="K1406" s="24">
        <f>IF(D1406="","",IFERROR(INDEX(Setup!$B$24:$B$59,MATCH(D1406,Setup!$A$24:$A$59,0)),"Check category"))</f>
        <v/>
      </c>
      <c r="L1406" s="25">
        <f>IF(A1406="","",DATE(YEAR(A1406),MONTH(A1406),1))</f>
        <v/>
      </c>
      <c r="M1406" s="26">
        <f>IF(AND(E1406="",F1406=""),"",N(E1406)-N(F1406))</f>
        <v/>
      </c>
      <c r="N1406" s="28" t="n"/>
    </row>
    <row r="1407">
      <c r="A1407" s="27" t="n"/>
      <c r="B1407" s="28" t="n"/>
      <c r="C1407" s="28" t="n"/>
      <c r="D1407" s="28" t="n"/>
      <c r="E1407" s="29" t="n"/>
      <c r="F1407" s="29" t="n"/>
      <c r="G1407" s="28" t="n"/>
      <c r="H1407" s="28" t="n"/>
      <c r="I1407" s="28" t="n"/>
      <c r="J1407" s="28" t="n"/>
      <c r="K1407" s="24">
        <f>IF(D1407="","",IFERROR(INDEX(Setup!$B$24:$B$59,MATCH(D1407,Setup!$A$24:$A$59,0)),"Check category"))</f>
        <v/>
      </c>
      <c r="L1407" s="25">
        <f>IF(A1407="","",DATE(YEAR(A1407),MONTH(A1407),1))</f>
        <v/>
      </c>
      <c r="M1407" s="26">
        <f>IF(AND(E1407="",F1407=""),"",N(E1407)-N(F1407))</f>
        <v/>
      </c>
      <c r="N1407" s="28" t="n"/>
    </row>
    <row r="1408">
      <c r="A1408" s="27" t="n"/>
      <c r="B1408" s="28" t="n"/>
      <c r="C1408" s="28" t="n"/>
      <c r="D1408" s="28" t="n"/>
      <c r="E1408" s="29" t="n"/>
      <c r="F1408" s="29" t="n"/>
      <c r="G1408" s="28" t="n"/>
      <c r="H1408" s="28" t="n"/>
      <c r="I1408" s="28" t="n"/>
      <c r="J1408" s="28" t="n"/>
      <c r="K1408" s="24">
        <f>IF(D1408="","",IFERROR(INDEX(Setup!$B$24:$B$59,MATCH(D1408,Setup!$A$24:$A$59,0)),"Check category"))</f>
        <v/>
      </c>
      <c r="L1408" s="25">
        <f>IF(A1408="","",DATE(YEAR(A1408),MONTH(A1408),1))</f>
        <v/>
      </c>
      <c r="M1408" s="26">
        <f>IF(AND(E1408="",F1408=""),"",N(E1408)-N(F1408))</f>
        <v/>
      </c>
      <c r="N1408" s="28" t="n"/>
    </row>
    <row r="1409">
      <c r="A1409" s="27" t="n"/>
      <c r="B1409" s="28" t="n"/>
      <c r="C1409" s="28" t="n"/>
      <c r="D1409" s="28" t="n"/>
      <c r="E1409" s="29" t="n"/>
      <c r="F1409" s="29" t="n"/>
      <c r="G1409" s="28" t="n"/>
      <c r="H1409" s="28" t="n"/>
      <c r="I1409" s="28" t="n"/>
      <c r="J1409" s="28" t="n"/>
      <c r="K1409" s="24">
        <f>IF(D1409="","",IFERROR(INDEX(Setup!$B$24:$B$59,MATCH(D1409,Setup!$A$24:$A$59,0)),"Check category"))</f>
        <v/>
      </c>
      <c r="L1409" s="25">
        <f>IF(A1409="","",DATE(YEAR(A1409),MONTH(A1409),1))</f>
        <v/>
      </c>
      <c r="M1409" s="26">
        <f>IF(AND(E1409="",F1409=""),"",N(E1409)-N(F1409))</f>
        <v/>
      </c>
      <c r="N1409" s="28" t="n"/>
    </row>
    <row r="1410">
      <c r="A1410" s="27" t="n"/>
      <c r="B1410" s="28" t="n"/>
      <c r="C1410" s="28" t="n"/>
      <c r="D1410" s="28" t="n"/>
      <c r="E1410" s="29" t="n"/>
      <c r="F1410" s="29" t="n"/>
      <c r="G1410" s="28" t="n"/>
      <c r="H1410" s="28" t="n"/>
      <c r="I1410" s="28" t="n"/>
      <c r="J1410" s="28" t="n"/>
      <c r="K1410" s="24">
        <f>IF(D1410="","",IFERROR(INDEX(Setup!$B$24:$B$59,MATCH(D1410,Setup!$A$24:$A$59,0)),"Check category"))</f>
        <v/>
      </c>
      <c r="L1410" s="25">
        <f>IF(A1410="","",DATE(YEAR(A1410),MONTH(A1410),1))</f>
        <v/>
      </c>
      <c r="M1410" s="26">
        <f>IF(AND(E1410="",F1410=""),"",N(E1410)-N(F1410))</f>
        <v/>
      </c>
      <c r="N1410" s="28" t="n"/>
    </row>
    <row r="1411">
      <c r="A1411" s="27" t="n"/>
      <c r="B1411" s="28" t="n"/>
      <c r="C1411" s="28" t="n"/>
      <c r="D1411" s="28" t="n"/>
      <c r="E1411" s="29" t="n"/>
      <c r="F1411" s="29" t="n"/>
      <c r="G1411" s="28" t="n"/>
      <c r="H1411" s="28" t="n"/>
      <c r="I1411" s="28" t="n"/>
      <c r="J1411" s="28" t="n"/>
      <c r="K1411" s="24">
        <f>IF(D1411="","",IFERROR(INDEX(Setup!$B$24:$B$59,MATCH(D1411,Setup!$A$24:$A$59,0)),"Check category"))</f>
        <v/>
      </c>
      <c r="L1411" s="25">
        <f>IF(A1411="","",DATE(YEAR(A1411),MONTH(A1411),1))</f>
        <v/>
      </c>
      <c r="M1411" s="26">
        <f>IF(AND(E1411="",F1411=""),"",N(E1411)-N(F1411))</f>
        <v/>
      </c>
      <c r="N1411" s="28" t="n"/>
    </row>
    <row r="1412">
      <c r="A1412" s="27" t="n"/>
      <c r="B1412" s="28" t="n"/>
      <c r="C1412" s="28" t="n"/>
      <c r="D1412" s="28" t="n"/>
      <c r="E1412" s="29" t="n"/>
      <c r="F1412" s="29" t="n"/>
      <c r="G1412" s="28" t="n"/>
      <c r="H1412" s="28" t="n"/>
      <c r="I1412" s="28" t="n"/>
      <c r="J1412" s="28" t="n"/>
      <c r="K1412" s="24">
        <f>IF(D1412="","",IFERROR(INDEX(Setup!$B$24:$B$59,MATCH(D1412,Setup!$A$24:$A$59,0)),"Check category"))</f>
        <v/>
      </c>
      <c r="L1412" s="25">
        <f>IF(A1412="","",DATE(YEAR(A1412),MONTH(A1412),1))</f>
        <v/>
      </c>
      <c r="M1412" s="26">
        <f>IF(AND(E1412="",F1412=""),"",N(E1412)-N(F1412))</f>
        <v/>
      </c>
      <c r="N1412" s="28" t="n"/>
    </row>
    <row r="1413">
      <c r="A1413" s="27" t="n"/>
      <c r="B1413" s="28" t="n"/>
      <c r="C1413" s="28" t="n"/>
      <c r="D1413" s="28" t="n"/>
      <c r="E1413" s="29" t="n"/>
      <c r="F1413" s="29" t="n"/>
      <c r="G1413" s="28" t="n"/>
      <c r="H1413" s="28" t="n"/>
      <c r="I1413" s="28" t="n"/>
      <c r="J1413" s="28" t="n"/>
      <c r="K1413" s="24">
        <f>IF(D1413="","",IFERROR(INDEX(Setup!$B$24:$B$59,MATCH(D1413,Setup!$A$24:$A$59,0)),"Check category"))</f>
        <v/>
      </c>
      <c r="L1413" s="25">
        <f>IF(A1413="","",DATE(YEAR(A1413),MONTH(A1413),1))</f>
        <v/>
      </c>
      <c r="M1413" s="26">
        <f>IF(AND(E1413="",F1413=""),"",N(E1413)-N(F1413))</f>
        <v/>
      </c>
      <c r="N1413" s="28" t="n"/>
    </row>
    <row r="1414">
      <c r="A1414" s="27" t="n"/>
      <c r="B1414" s="28" t="n"/>
      <c r="C1414" s="28" t="n"/>
      <c r="D1414" s="28" t="n"/>
      <c r="E1414" s="29" t="n"/>
      <c r="F1414" s="29" t="n"/>
      <c r="G1414" s="28" t="n"/>
      <c r="H1414" s="28" t="n"/>
      <c r="I1414" s="28" t="n"/>
      <c r="J1414" s="28" t="n"/>
      <c r="K1414" s="24">
        <f>IF(D1414="","",IFERROR(INDEX(Setup!$B$24:$B$59,MATCH(D1414,Setup!$A$24:$A$59,0)),"Check category"))</f>
        <v/>
      </c>
      <c r="L1414" s="25">
        <f>IF(A1414="","",DATE(YEAR(A1414),MONTH(A1414),1))</f>
        <v/>
      </c>
      <c r="M1414" s="26">
        <f>IF(AND(E1414="",F1414=""),"",N(E1414)-N(F1414))</f>
        <v/>
      </c>
      <c r="N1414" s="28" t="n"/>
    </row>
    <row r="1415">
      <c r="A1415" s="27" t="n"/>
      <c r="B1415" s="28" t="n"/>
      <c r="C1415" s="28" t="n"/>
      <c r="D1415" s="28" t="n"/>
      <c r="E1415" s="29" t="n"/>
      <c r="F1415" s="29" t="n"/>
      <c r="G1415" s="28" t="n"/>
      <c r="H1415" s="28" t="n"/>
      <c r="I1415" s="28" t="n"/>
      <c r="J1415" s="28" t="n"/>
      <c r="K1415" s="24">
        <f>IF(D1415="","",IFERROR(INDEX(Setup!$B$24:$B$59,MATCH(D1415,Setup!$A$24:$A$59,0)),"Check category"))</f>
        <v/>
      </c>
      <c r="L1415" s="25">
        <f>IF(A1415="","",DATE(YEAR(A1415),MONTH(A1415),1))</f>
        <v/>
      </c>
      <c r="M1415" s="26">
        <f>IF(AND(E1415="",F1415=""),"",N(E1415)-N(F1415))</f>
        <v/>
      </c>
      <c r="N1415" s="28" t="n"/>
    </row>
    <row r="1416">
      <c r="A1416" s="27" t="n"/>
      <c r="B1416" s="28" t="n"/>
      <c r="C1416" s="28" t="n"/>
      <c r="D1416" s="28" t="n"/>
      <c r="E1416" s="29" t="n"/>
      <c r="F1416" s="29" t="n"/>
      <c r="G1416" s="28" t="n"/>
      <c r="H1416" s="28" t="n"/>
      <c r="I1416" s="28" t="n"/>
      <c r="J1416" s="28" t="n"/>
      <c r="K1416" s="24">
        <f>IF(D1416="","",IFERROR(INDEX(Setup!$B$24:$B$59,MATCH(D1416,Setup!$A$24:$A$59,0)),"Check category"))</f>
        <v/>
      </c>
      <c r="L1416" s="25">
        <f>IF(A1416="","",DATE(YEAR(A1416),MONTH(A1416),1))</f>
        <v/>
      </c>
      <c r="M1416" s="26">
        <f>IF(AND(E1416="",F1416=""),"",N(E1416)-N(F1416))</f>
        <v/>
      </c>
      <c r="N1416" s="28" t="n"/>
    </row>
    <row r="1417">
      <c r="A1417" s="27" t="n"/>
      <c r="B1417" s="28" t="n"/>
      <c r="C1417" s="28" t="n"/>
      <c r="D1417" s="28" t="n"/>
      <c r="E1417" s="29" t="n"/>
      <c r="F1417" s="29" t="n"/>
      <c r="G1417" s="28" t="n"/>
      <c r="H1417" s="28" t="n"/>
      <c r="I1417" s="28" t="n"/>
      <c r="J1417" s="28" t="n"/>
      <c r="K1417" s="24">
        <f>IF(D1417="","",IFERROR(INDEX(Setup!$B$24:$B$59,MATCH(D1417,Setup!$A$24:$A$59,0)),"Check category"))</f>
        <v/>
      </c>
      <c r="L1417" s="25">
        <f>IF(A1417="","",DATE(YEAR(A1417),MONTH(A1417),1))</f>
        <v/>
      </c>
      <c r="M1417" s="26">
        <f>IF(AND(E1417="",F1417=""),"",N(E1417)-N(F1417))</f>
        <v/>
      </c>
      <c r="N1417" s="28" t="n"/>
    </row>
    <row r="1418">
      <c r="A1418" s="27" t="n"/>
      <c r="B1418" s="28" t="n"/>
      <c r="C1418" s="28" t="n"/>
      <c r="D1418" s="28" t="n"/>
      <c r="E1418" s="29" t="n"/>
      <c r="F1418" s="29" t="n"/>
      <c r="G1418" s="28" t="n"/>
      <c r="H1418" s="28" t="n"/>
      <c r="I1418" s="28" t="n"/>
      <c r="J1418" s="28" t="n"/>
      <c r="K1418" s="24">
        <f>IF(D1418="","",IFERROR(INDEX(Setup!$B$24:$B$59,MATCH(D1418,Setup!$A$24:$A$59,0)),"Check category"))</f>
        <v/>
      </c>
      <c r="L1418" s="25">
        <f>IF(A1418="","",DATE(YEAR(A1418),MONTH(A1418),1))</f>
        <v/>
      </c>
      <c r="M1418" s="26">
        <f>IF(AND(E1418="",F1418=""),"",N(E1418)-N(F1418))</f>
        <v/>
      </c>
      <c r="N1418" s="28" t="n"/>
    </row>
    <row r="1419">
      <c r="A1419" s="27" t="n"/>
      <c r="B1419" s="28" t="n"/>
      <c r="C1419" s="28" t="n"/>
      <c r="D1419" s="28" t="n"/>
      <c r="E1419" s="29" t="n"/>
      <c r="F1419" s="29" t="n"/>
      <c r="G1419" s="28" t="n"/>
      <c r="H1419" s="28" t="n"/>
      <c r="I1419" s="28" t="n"/>
      <c r="J1419" s="28" t="n"/>
      <c r="K1419" s="24">
        <f>IF(D1419="","",IFERROR(INDEX(Setup!$B$24:$B$59,MATCH(D1419,Setup!$A$24:$A$59,0)),"Check category"))</f>
        <v/>
      </c>
      <c r="L1419" s="25">
        <f>IF(A1419="","",DATE(YEAR(A1419),MONTH(A1419),1))</f>
        <v/>
      </c>
      <c r="M1419" s="26">
        <f>IF(AND(E1419="",F1419=""),"",N(E1419)-N(F1419))</f>
        <v/>
      </c>
      <c r="N1419" s="28" t="n"/>
    </row>
    <row r="1420">
      <c r="A1420" s="27" t="n"/>
      <c r="B1420" s="28" t="n"/>
      <c r="C1420" s="28" t="n"/>
      <c r="D1420" s="28" t="n"/>
      <c r="E1420" s="29" t="n"/>
      <c r="F1420" s="29" t="n"/>
      <c r="G1420" s="28" t="n"/>
      <c r="H1420" s="28" t="n"/>
      <c r="I1420" s="28" t="n"/>
      <c r="J1420" s="28" t="n"/>
      <c r="K1420" s="24">
        <f>IF(D1420="","",IFERROR(INDEX(Setup!$B$24:$B$59,MATCH(D1420,Setup!$A$24:$A$59,0)),"Check category"))</f>
        <v/>
      </c>
      <c r="L1420" s="25">
        <f>IF(A1420="","",DATE(YEAR(A1420),MONTH(A1420),1))</f>
        <v/>
      </c>
      <c r="M1420" s="26">
        <f>IF(AND(E1420="",F1420=""),"",N(E1420)-N(F1420))</f>
        <v/>
      </c>
      <c r="N1420" s="28" t="n"/>
    </row>
    <row r="1421">
      <c r="A1421" s="27" t="n"/>
      <c r="B1421" s="28" t="n"/>
      <c r="C1421" s="28" t="n"/>
      <c r="D1421" s="28" t="n"/>
      <c r="E1421" s="29" t="n"/>
      <c r="F1421" s="29" t="n"/>
      <c r="G1421" s="28" t="n"/>
      <c r="H1421" s="28" t="n"/>
      <c r="I1421" s="28" t="n"/>
      <c r="J1421" s="28" t="n"/>
      <c r="K1421" s="24">
        <f>IF(D1421="","",IFERROR(INDEX(Setup!$B$24:$B$59,MATCH(D1421,Setup!$A$24:$A$59,0)),"Check category"))</f>
        <v/>
      </c>
      <c r="L1421" s="25">
        <f>IF(A1421="","",DATE(YEAR(A1421),MONTH(A1421),1))</f>
        <v/>
      </c>
      <c r="M1421" s="26">
        <f>IF(AND(E1421="",F1421=""),"",N(E1421)-N(F1421))</f>
        <v/>
      </c>
      <c r="N1421" s="28" t="n"/>
    </row>
    <row r="1422">
      <c r="A1422" s="27" t="n"/>
      <c r="B1422" s="28" t="n"/>
      <c r="C1422" s="28" t="n"/>
      <c r="D1422" s="28" t="n"/>
      <c r="E1422" s="29" t="n"/>
      <c r="F1422" s="29" t="n"/>
      <c r="G1422" s="28" t="n"/>
      <c r="H1422" s="28" t="n"/>
      <c r="I1422" s="28" t="n"/>
      <c r="J1422" s="28" t="n"/>
      <c r="K1422" s="24">
        <f>IF(D1422="","",IFERROR(INDEX(Setup!$B$24:$B$59,MATCH(D1422,Setup!$A$24:$A$59,0)),"Check category"))</f>
        <v/>
      </c>
      <c r="L1422" s="25">
        <f>IF(A1422="","",DATE(YEAR(A1422),MONTH(A1422),1))</f>
        <v/>
      </c>
      <c r="M1422" s="26">
        <f>IF(AND(E1422="",F1422=""),"",N(E1422)-N(F1422))</f>
        <v/>
      </c>
      <c r="N1422" s="28" t="n"/>
    </row>
    <row r="1423">
      <c r="A1423" s="27" t="n"/>
      <c r="B1423" s="28" t="n"/>
      <c r="C1423" s="28" t="n"/>
      <c r="D1423" s="28" t="n"/>
      <c r="E1423" s="29" t="n"/>
      <c r="F1423" s="29" t="n"/>
      <c r="G1423" s="28" t="n"/>
      <c r="H1423" s="28" t="n"/>
      <c r="I1423" s="28" t="n"/>
      <c r="J1423" s="28" t="n"/>
      <c r="K1423" s="24">
        <f>IF(D1423="","",IFERROR(INDEX(Setup!$B$24:$B$59,MATCH(D1423,Setup!$A$24:$A$59,0)),"Check category"))</f>
        <v/>
      </c>
      <c r="L1423" s="25">
        <f>IF(A1423="","",DATE(YEAR(A1423),MONTH(A1423),1))</f>
        <v/>
      </c>
      <c r="M1423" s="26">
        <f>IF(AND(E1423="",F1423=""),"",N(E1423)-N(F1423))</f>
        <v/>
      </c>
      <c r="N1423" s="28" t="n"/>
    </row>
    <row r="1424">
      <c r="A1424" s="27" t="n"/>
      <c r="B1424" s="28" t="n"/>
      <c r="C1424" s="28" t="n"/>
      <c r="D1424" s="28" t="n"/>
      <c r="E1424" s="29" t="n"/>
      <c r="F1424" s="29" t="n"/>
      <c r="G1424" s="28" t="n"/>
      <c r="H1424" s="28" t="n"/>
      <c r="I1424" s="28" t="n"/>
      <c r="J1424" s="28" t="n"/>
      <c r="K1424" s="24">
        <f>IF(D1424="","",IFERROR(INDEX(Setup!$B$24:$B$59,MATCH(D1424,Setup!$A$24:$A$59,0)),"Check category"))</f>
        <v/>
      </c>
      <c r="L1424" s="25">
        <f>IF(A1424="","",DATE(YEAR(A1424),MONTH(A1424),1))</f>
        <v/>
      </c>
      <c r="M1424" s="26">
        <f>IF(AND(E1424="",F1424=""),"",N(E1424)-N(F1424))</f>
        <v/>
      </c>
      <c r="N1424" s="28" t="n"/>
    </row>
    <row r="1425">
      <c r="A1425" s="27" t="n"/>
      <c r="B1425" s="28" t="n"/>
      <c r="C1425" s="28" t="n"/>
      <c r="D1425" s="28" t="n"/>
      <c r="E1425" s="29" t="n"/>
      <c r="F1425" s="29" t="n"/>
      <c r="G1425" s="28" t="n"/>
      <c r="H1425" s="28" t="n"/>
      <c r="I1425" s="28" t="n"/>
      <c r="J1425" s="28" t="n"/>
      <c r="K1425" s="24">
        <f>IF(D1425="","",IFERROR(INDEX(Setup!$B$24:$B$59,MATCH(D1425,Setup!$A$24:$A$59,0)),"Check category"))</f>
        <v/>
      </c>
      <c r="L1425" s="25">
        <f>IF(A1425="","",DATE(YEAR(A1425),MONTH(A1425),1))</f>
        <v/>
      </c>
      <c r="M1425" s="26">
        <f>IF(AND(E1425="",F1425=""),"",N(E1425)-N(F1425))</f>
        <v/>
      </c>
      <c r="N1425" s="28" t="n"/>
    </row>
    <row r="1426">
      <c r="A1426" s="27" t="n"/>
      <c r="B1426" s="28" t="n"/>
      <c r="C1426" s="28" t="n"/>
      <c r="D1426" s="28" t="n"/>
      <c r="E1426" s="29" t="n"/>
      <c r="F1426" s="29" t="n"/>
      <c r="G1426" s="28" t="n"/>
      <c r="H1426" s="28" t="n"/>
      <c r="I1426" s="28" t="n"/>
      <c r="J1426" s="28" t="n"/>
      <c r="K1426" s="24">
        <f>IF(D1426="","",IFERROR(INDEX(Setup!$B$24:$B$59,MATCH(D1426,Setup!$A$24:$A$59,0)),"Check category"))</f>
        <v/>
      </c>
      <c r="L1426" s="25">
        <f>IF(A1426="","",DATE(YEAR(A1426),MONTH(A1426),1))</f>
        <v/>
      </c>
      <c r="M1426" s="26">
        <f>IF(AND(E1426="",F1426=""),"",N(E1426)-N(F1426))</f>
        <v/>
      </c>
      <c r="N1426" s="28" t="n"/>
    </row>
    <row r="1427">
      <c r="A1427" s="27" t="n"/>
      <c r="B1427" s="28" t="n"/>
      <c r="C1427" s="28" t="n"/>
      <c r="D1427" s="28" t="n"/>
      <c r="E1427" s="29" t="n"/>
      <c r="F1427" s="29" t="n"/>
      <c r="G1427" s="28" t="n"/>
      <c r="H1427" s="28" t="n"/>
      <c r="I1427" s="28" t="n"/>
      <c r="J1427" s="28" t="n"/>
      <c r="K1427" s="24">
        <f>IF(D1427="","",IFERROR(INDEX(Setup!$B$24:$B$59,MATCH(D1427,Setup!$A$24:$A$59,0)),"Check category"))</f>
        <v/>
      </c>
      <c r="L1427" s="25">
        <f>IF(A1427="","",DATE(YEAR(A1427),MONTH(A1427),1))</f>
        <v/>
      </c>
      <c r="M1427" s="26">
        <f>IF(AND(E1427="",F1427=""),"",N(E1427)-N(F1427))</f>
        <v/>
      </c>
      <c r="N1427" s="28" t="n"/>
    </row>
    <row r="1428">
      <c r="A1428" s="27" t="n"/>
      <c r="B1428" s="28" t="n"/>
      <c r="C1428" s="28" t="n"/>
      <c r="D1428" s="28" t="n"/>
      <c r="E1428" s="29" t="n"/>
      <c r="F1428" s="29" t="n"/>
      <c r="G1428" s="28" t="n"/>
      <c r="H1428" s="28" t="n"/>
      <c r="I1428" s="28" t="n"/>
      <c r="J1428" s="28" t="n"/>
      <c r="K1428" s="24">
        <f>IF(D1428="","",IFERROR(INDEX(Setup!$B$24:$B$59,MATCH(D1428,Setup!$A$24:$A$59,0)),"Check category"))</f>
        <v/>
      </c>
      <c r="L1428" s="25">
        <f>IF(A1428="","",DATE(YEAR(A1428),MONTH(A1428),1))</f>
        <v/>
      </c>
      <c r="M1428" s="26">
        <f>IF(AND(E1428="",F1428=""),"",N(E1428)-N(F1428))</f>
        <v/>
      </c>
      <c r="N1428" s="28" t="n"/>
    </row>
    <row r="1429">
      <c r="A1429" s="27" t="n"/>
      <c r="B1429" s="28" t="n"/>
      <c r="C1429" s="28" t="n"/>
      <c r="D1429" s="28" t="n"/>
      <c r="E1429" s="29" t="n"/>
      <c r="F1429" s="29" t="n"/>
      <c r="G1429" s="28" t="n"/>
      <c r="H1429" s="28" t="n"/>
      <c r="I1429" s="28" t="n"/>
      <c r="J1429" s="28" t="n"/>
      <c r="K1429" s="24">
        <f>IF(D1429="","",IFERROR(INDEX(Setup!$B$24:$B$59,MATCH(D1429,Setup!$A$24:$A$59,0)),"Check category"))</f>
        <v/>
      </c>
      <c r="L1429" s="25">
        <f>IF(A1429="","",DATE(YEAR(A1429),MONTH(A1429),1))</f>
        <v/>
      </c>
      <c r="M1429" s="26">
        <f>IF(AND(E1429="",F1429=""),"",N(E1429)-N(F1429))</f>
        <v/>
      </c>
      <c r="N1429" s="28" t="n"/>
    </row>
    <row r="1430">
      <c r="A1430" s="27" t="n"/>
      <c r="B1430" s="28" t="n"/>
      <c r="C1430" s="28" t="n"/>
      <c r="D1430" s="28" t="n"/>
      <c r="E1430" s="29" t="n"/>
      <c r="F1430" s="29" t="n"/>
      <c r="G1430" s="28" t="n"/>
      <c r="H1430" s="28" t="n"/>
      <c r="I1430" s="28" t="n"/>
      <c r="J1430" s="28" t="n"/>
      <c r="K1430" s="24">
        <f>IF(D1430="","",IFERROR(INDEX(Setup!$B$24:$B$59,MATCH(D1430,Setup!$A$24:$A$59,0)),"Check category"))</f>
        <v/>
      </c>
      <c r="L1430" s="25">
        <f>IF(A1430="","",DATE(YEAR(A1430),MONTH(A1430),1))</f>
        <v/>
      </c>
      <c r="M1430" s="26">
        <f>IF(AND(E1430="",F1430=""),"",N(E1430)-N(F1430))</f>
        <v/>
      </c>
      <c r="N1430" s="28" t="n"/>
    </row>
    <row r="1431">
      <c r="A1431" s="27" t="n"/>
      <c r="B1431" s="28" t="n"/>
      <c r="C1431" s="28" t="n"/>
      <c r="D1431" s="28" t="n"/>
      <c r="E1431" s="29" t="n"/>
      <c r="F1431" s="29" t="n"/>
      <c r="G1431" s="28" t="n"/>
      <c r="H1431" s="28" t="n"/>
      <c r="I1431" s="28" t="n"/>
      <c r="J1431" s="28" t="n"/>
      <c r="K1431" s="24">
        <f>IF(D1431="","",IFERROR(INDEX(Setup!$B$24:$B$59,MATCH(D1431,Setup!$A$24:$A$59,0)),"Check category"))</f>
        <v/>
      </c>
      <c r="L1431" s="25">
        <f>IF(A1431="","",DATE(YEAR(A1431),MONTH(A1431),1))</f>
        <v/>
      </c>
      <c r="M1431" s="26">
        <f>IF(AND(E1431="",F1431=""),"",N(E1431)-N(F1431))</f>
        <v/>
      </c>
      <c r="N1431" s="28" t="n"/>
    </row>
    <row r="1432">
      <c r="A1432" s="27" t="n"/>
      <c r="B1432" s="28" t="n"/>
      <c r="C1432" s="28" t="n"/>
      <c r="D1432" s="28" t="n"/>
      <c r="E1432" s="29" t="n"/>
      <c r="F1432" s="29" t="n"/>
      <c r="G1432" s="28" t="n"/>
      <c r="H1432" s="28" t="n"/>
      <c r="I1432" s="28" t="n"/>
      <c r="J1432" s="28" t="n"/>
      <c r="K1432" s="24">
        <f>IF(D1432="","",IFERROR(INDEX(Setup!$B$24:$B$59,MATCH(D1432,Setup!$A$24:$A$59,0)),"Check category"))</f>
        <v/>
      </c>
      <c r="L1432" s="25">
        <f>IF(A1432="","",DATE(YEAR(A1432),MONTH(A1432),1))</f>
        <v/>
      </c>
      <c r="M1432" s="26">
        <f>IF(AND(E1432="",F1432=""),"",N(E1432)-N(F1432))</f>
        <v/>
      </c>
      <c r="N1432" s="28" t="n"/>
    </row>
    <row r="1433">
      <c r="A1433" s="27" t="n"/>
      <c r="B1433" s="28" t="n"/>
      <c r="C1433" s="28" t="n"/>
      <c r="D1433" s="28" t="n"/>
      <c r="E1433" s="29" t="n"/>
      <c r="F1433" s="29" t="n"/>
      <c r="G1433" s="28" t="n"/>
      <c r="H1433" s="28" t="n"/>
      <c r="I1433" s="28" t="n"/>
      <c r="J1433" s="28" t="n"/>
      <c r="K1433" s="24">
        <f>IF(D1433="","",IFERROR(INDEX(Setup!$B$24:$B$59,MATCH(D1433,Setup!$A$24:$A$59,0)),"Check category"))</f>
        <v/>
      </c>
      <c r="L1433" s="25">
        <f>IF(A1433="","",DATE(YEAR(A1433),MONTH(A1433),1))</f>
        <v/>
      </c>
      <c r="M1433" s="26">
        <f>IF(AND(E1433="",F1433=""),"",N(E1433)-N(F1433))</f>
        <v/>
      </c>
      <c r="N1433" s="28" t="n"/>
    </row>
    <row r="1434">
      <c r="A1434" s="27" t="n"/>
      <c r="B1434" s="28" t="n"/>
      <c r="C1434" s="28" t="n"/>
      <c r="D1434" s="28" t="n"/>
      <c r="E1434" s="29" t="n"/>
      <c r="F1434" s="29" t="n"/>
      <c r="G1434" s="28" t="n"/>
      <c r="H1434" s="28" t="n"/>
      <c r="I1434" s="28" t="n"/>
      <c r="J1434" s="28" t="n"/>
      <c r="K1434" s="24">
        <f>IF(D1434="","",IFERROR(INDEX(Setup!$B$24:$B$59,MATCH(D1434,Setup!$A$24:$A$59,0)),"Check category"))</f>
        <v/>
      </c>
      <c r="L1434" s="25">
        <f>IF(A1434="","",DATE(YEAR(A1434),MONTH(A1434),1))</f>
        <v/>
      </c>
      <c r="M1434" s="26">
        <f>IF(AND(E1434="",F1434=""),"",N(E1434)-N(F1434))</f>
        <v/>
      </c>
      <c r="N1434" s="28" t="n"/>
    </row>
    <row r="1435">
      <c r="A1435" s="27" t="n"/>
      <c r="B1435" s="28" t="n"/>
      <c r="C1435" s="28" t="n"/>
      <c r="D1435" s="28" t="n"/>
      <c r="E1435" s="29" t="n"/>
      <c r="F1435" s="29" t="n"/>
      <c r="G1435" s="28" t="n"/>
      <c r="H1435" s="28" t="n"/>
      <c r="I1435" s="28" t="n"/>
      <c r="J1435" s="28" t="n"/>
      <c r="K1435" s="24">
        <f>IF(D1435="","",IFERROR(INDEX(Setup!$B$24:$B$59,MATCH(D1435,Setup!$A$24:$A$59,0)),"Check category"))</f>
        <v/>
      </c>
      <c r="L1435" s="25">
        <f>IF(A1435="","",DATE(YEAR(A1435),MONTH(A1435),1))</f>
        <v/>
      </c>
      <c r="M1435" s="26">
        <f>IF(AND(E1435="",F1435=""),"",N(E1435)-N(F1435))</f>
        <v/>
      </c>
      <c r="N1435" s="28" t="n"/>
    </row>
    <row r="1436">
      <c r="A1436" s="27" t="n"/>
      <c r="B1436" s="28" t="n"/>
      <c r="C1436" s="28" t="n"/>
      <c r="D1436" s="28" t="n"/>
      <c r="E1436" s="29" t="n"/>
      <c r="F1436" s="29" t="n"/>
      <c r="G1436" s="28" t="n"/>
      <c r="H1436" s="28" t="n"/>
      <c r="I1436" s="28" t="n"/>
      <c r="J1436" s="28" t="n"/>
      <c r="K1436" s="24">
        <f>IF(D1436="","",IFERROR(INDEX(Setup!$B$24:$B$59,MATCH(D1436,Setup!$A$24:$A$59,0)),"Check category"))</f>
        <v/>
      </c>
      <c r="L1436" s="25">
        <f>IF(A1436="","",DATE(YEAR(A1436),MONTH(A1436),1))</f>
        <v/>
      </c>
      <c r="M1436" s="26">
        <f>IF(AND(E1436="",F1436=""),"",N(E1436)-N(F1436))</f>
        <v/>
      </c>
      <c r="N1436" s="28" t="n"/>
    </row>
    <row r="1437">
      <c r="A1437" s="27" t="n"/>
      <c r="B1437" s="28" t="n"/>
      <c r="C1437" s="28" t="n"/>
      <c r="D1437" s="28" t="n"/>
      <c r="E1437" s="29" t="n"/>
      <c r="F1437" s="29" t="n"/>
      <c r="G1437" s="28" t="n"/>
      <c r="H1437" s="28" t="n"/>
      <c r="I1437" s="28" t="n"/>
      <c r="J1437" s="28" t="n"/>
      <c r="K1437" s="24">
        <f>IF(D1437="","",IFERROR(INDEX(Setup!$B$24:$B$59,MATCH(D1437,Setup!$A$24:$A$59,0)),"Check category"))</f>
        <v/>
      </c>
      <c r="L1437" s="25">
        <f>IF(A1437="","",DATE(YEAR(A1437),MONTH(A1437),1))</f>
        <v/>
      </c>
      <c r="M1437" s="26">
        <f>IF(AND(E1437="",F1437=""),"",N(E1437)-N(F1437))</f>
        <v/>
      </c>
      <c r="N1437" s="28" t="n"/>
    </row>
    <row r="1438">
      <c r="A1438" s="27" t="n"/>
      <c r="B1438" s="28" t="n"/>
      <c r="C1438" s="28" t="n"/>
      <c r="D1438" s="28" t="n"/>
      <c r="E1438" s="29" t="n"/>
      <c r="F1438" s="29" t="n"/>
      <c r="G1438" s="28" t="n"/>
      <c r="H1438" s="28" t="n"/>
      <c r="I1438" s="28" t="n"/>
      <c r="J1438" s="28" t="n"/>
      <c r="K1438" s="24">
        <f>IF(D1438="","",IFERROR(INDEX(Setup!$B$24:$B$59,MATCH(D1438,Setup!$A$24:$A$59,0)),"Check category"))</f>
        <v/>
      </c>
      <c r="L1438" s="25">
        <f>IF(A1438="","",DATE(YEAR(A1438),MONTH(A1438),1))</f>
        <v/>
      </c>
      <c r="M1438" s="26">
        <f>IF(AND(E1438="",F1438=""),"",N(E1438)-N(F1438))</f>
        <v/>
      </c>
      <c r="N1438" s="28" t="n"/>
    </row>
    <row r="1439">
      <c r="A1439" s="27" t="n"/>
      <c r="B1439" s="28" t="n"/>
      <c r="C1439" s="28" t="n"/>
      <c r="D1439" s="28" t="n"/>
      <c r="E1439" s="29" t="n"/>
      <c r="F1439" s="29" t="n"/>
      <c r="G1439" s="28" t="n"/>
      <c r="H1439" s="28" t="n"/>
      <c r="I1439" s="28" t="n"/>
      <c r="J1439" s="28" t="n"/>
      <c r="K1439" s="24">
        <f>IF(D1439="","",IFERROR(INDEX(Setup!$B$24:$B$59,MATCH(D1439,Setup!$A$24:$A$59,0)),"Check category"))</f>
        <v/>
      </c>
      <c r="L1439" s="25">
        <f>IF(A1439="","",DATE(YEAR(A1439),MONTH(A1439),1))</f>
        <v/>
      </c>
      <c r="M1439" s="26">
        <f>IF(AND(E1439="",F1439=""),"",N(E1439)-N(F1439))</f>
        <v/>
      </c>
      <c r="N1439" s="28" t="n"/>
    </row>
    <row r="1440">
      <c r="A1440" s="27" t="n"/>
      <c r="B1440" s="28" t="n"/>
      <c r="C1440" s="28" t="n"/>
      <c r="D1440" s="28" t="n"/>
      <c r="E1440" s="29" t="n"/>
      <c r="F1440" s="29" t="n"/>
      <c r="G1440" s="28" t="n"/>
      <c r="H1440" s="28" t="n"/>
      <c r="I1440" s="28" t="n"/>
      <c r="J1440" s="28" t="n"/>
      <c r="K1440" s="24">
        <f>IF(D1440="","",IFERROR(INDEX(Setup!$B$24:$B$59,MATCH(D1440,Setup!$A$24:$A$59,0)),"Check category"))</f>
        <v/>
      </c>
      <c r="L1440" s="25">
        <f>IF(A1440="","",DATE(YEAR(A1440),MONTH(A1440),1))</f>
        <v/>
      </c>
      <c r="M1440" s="26">
        <f>IF(AND(E1440="",F1440=""),"",N(E1440)-N(F1440))</f>
        <v/>
      </c>
      <c r="N1440" s="28" t="n"/>
    </row>
    <row r="1441">
      <c r="A1441" s="27" t="n"/>
      <c r="B1441" s="28" t="n"/>
      <c r="C1441" s="28" t="n"/>
      <c r="D1441" s="28" t="n"/>
      <c r="E1441" s="29" t="n"/>
      <c r="F1441" s="29" t="n"/>
      <c r="G1441" s="28" t="n"/>
      <c r="H1441" s="28" t="n"/>
      <c r="I1441" s="28" t="n"/>
      <c r="J1441" s="28" t="n"/>
      <c r="K1441" s="24">
        <f>IF(D1441="","",IFERROR(INDEX(Setup!$B$24:$B$59,MATCH(D1441,Setup!$A$24:$A$59,0)),"Check category"))</f>
        <v/>
      </c>
      <c r="L1441" s="25">
        <f>IF(A1441="","",DATE(YEAR(A1441),MONTH(A1441),1))</f>
        <v/>
      </c>
      <c r="M1441" s="26">
        <f>IF(AND(E1441="",F1441=""),"",N(E1441)-N(F1441))</f>
        <v/>
      </c>
      <c r="N1441" s="28" t="n"/>
    </row>
    <row r="1442">
      <c r="A1442" s="27" t="n"/>
      <c r="B1442" s="28" t="n"/>
      <c r="C1442" s="28" t="n"/>
      <c r="D1442" s="28" t="n"/>
      <c r="E1442" s="29" t="n"/>
      <c r="F1442" s="29" t="n"/>
      <c r="G1442" s="28" t="n"/>
      <c r="H1442" s="28" t="n"/>
      <c r="I1442" s="28" t="n"/>
      <c r="J1442" s="28" t="n"/>
      <c r="K1442" s="24">
        <f>IF(D1442="","",IFERROR(INDEX(Setup!$B$24:$B$59,MATCH(D1442,Setup!$A$24:$A$59,0)),"Check category"))</f>
        <v/>
      </c>
      <c r="L1442" s="25">
        <f>IF(A1442="","",DATE(YEAR(A1442),MONTH(A1442),1))</f>
        <v/>
      </c>
      <c r="M1442" s="26">
        <f>IF(AND(E1442="",F1442=""),"",N(E1442)-N(F1442))</f>
        <v/>
      </c>
      <c r="N1442" s="28" t="n"/>
    </row>
    <row r="1443">
      <c r="A1443" s="27" t="n"/>
      <c r="B1443" s="28" t="n"/>
      <c r="C1443" s="28" t="n"/>
      <c r="D1443" s="28" t="n"/>
      <c r="E1443" s="29" t="n"/>
      <c r="F1443" s="29" t="n"/>
      <c r="G1443" s="28" t="n"/>
      <c r="H1443" s="28" t="n"/>
      <c r="I1443" s="28" t="n"/>
      <c r="J1443" s="28" t="n"/>
      <c r="K1443" s="24">
        <f>IF(D1443="","",IFERROR(INDEX(Setup!$B$24:$B$59,MATCH(D1443,Setup!$A$24:$A$59,0)),"Check category"))</f>
        <v/>
      </c>
      <c r="L1443" s="25">
        <f>IF(A1443="","",DATE(YEAR(A1443),MONTH(A1443),1))</f>
        <v/>
      </c>
      <c r="M1443" s="26">
        <f>IF(AND(E1443="",F1443=""),"",N(E1443)-N(F1443))</f>
        <v/>
      </c>
      <c r="N1443" s="28" t="n"/>
    </row>
    <row r="1444">
      <c r="A1444" s="27" t="n"/>
      <c r="B1444" s="28" t="n"/>
      <c r="C1444" s="28" t="n"/>
      <c r="D1444" s="28" t="n"/>
      <c r="E1444" s="29" t="n"/>
      <c r="F1444" s="29" t="n"/>
      <c r="G1444" s="28" t="n"/>
      <c r="H1444" s="28" t="n"/>
      <c r="I1444" s="28" t="n"/>
      <c r="J1444" s="28" t="n"/>
      <c r="K1444" s="24">
        <f>IF(D1444="","",IFERROR(INDEX(Setup!$B$24:$B$59,MATCH(D1444,Setup!$A$24:$A$59,0)),"Check category"))</f>
        <v/>
      </c>
      <c r="L1444" s="25">
        <f>IF(A1444="","",DATE(YEAR(A1444),MONTH(A1444),1))</f>
        <v/>
      </c>
      <c r="M1444" s="26">
        <f>IF(AND(E1444="",F1444=""),"",N(E1444)-N(F1444))</f>
        <v/>
      </c>
      <c r="N1444" s="28" t="n"/>
    </row>
    <row r="1445">
      <c r="A1445" s="27" t="n"/>
      <c r="B1445" s="28" t="n"/>
      <c r="C1445" s="28" t="n"/>
      <c r="D1445" s="28" t="n"/>
      <c r="E1445" s="29" t="n"/>
      <c r="F1445" s="29" t="n"/>
      <c r="G1445" s="28" t="n"/>
      <c r="H1445" s="28" t="n"/>
      <c r="I1445" s="28" t="n"/>
      <c r="J1445" s="28" t="n"/>
      <c r="K1445" s="24">
        <f>IF(D1445="","",IFERROR(INDEX(Setup!$B$24:$B$59,MATCH(D1445,Setup!$A$24:$A$59,0)),"Check category"))</f>
        <v/>
      </c>
      <c r="L1445" s="25">
        <f>IF(A1445="","",DATE(YEAR(A1445),MONTH(A1445),1))</f>
        <v/>
      </c>
      <c r="M1445" s="26">
        <f>IF(AND(E1445="",F1445=""),"",N(E1445)-N(F1445))</f>
        <v/>
      </c>
      <c r="N1445" s="28" t="n"/>
    </row>
    <row r="1446">
      <c r="A1446" s="27" t="n"/>
      <c r="B1446" s="28" t="n"/>
      <c r="C1446" s="28" t="n"/>
      <c r="D1446" s="28" t="n"/>
      <c r="E1446" s="29" t="n"/>
      <c r="F1446" s="29" t="n"/>
      <c r="G1446" s="28" t="n"/>
      <c r="H1446" s="28" t="n"/>
      <c r="I1446" s="28" t="n"/>
      <c r="J1446" s="28" t="n"/>
      <c r="K1446" s="24">
        <f>IF(D1446="","",IFERROR(INDEX(Setup!$B$24:$B$59,MATCH(D1446,Setup!$A$24:$A$59,0)),"Check category"))</f>
        <v/>
      </c>
      <c r="L1446" s="25">
        <f>IF(A1446="","",DATE(YEAR(A1446),MONTH(A1446),1))</f>
        <v/>
      </c>
      <c r="M1446" s="26">
        <f>IF(AND(E1446="",F1446=""),"",N(E1446)-N(F1446))</f>
        <v/>
      </c>
      <c r="N1446" s="28" t="n"/>
    </row>
    <row r="1447">
      <c r="A1447" s="27" t="n"/>
      <c r="B1447" s="28" t="n"/>
      <c r="C1447" s="28" t="n"/>
      <c r="D1447" s="28" t="n"/>
      <c r="E1447" s="29" t="n"/>
      <c r="F1447" s="29" t="n"/>
      <c r="G1447" s="28" t="n"/>
      <c r="H1447" s="28" t="n"/>
      <c r="I1447" s="28" t="n"/>
      <c r="J1447" s="28" t="n"/>
      <c r="K1447" s="24">
        <f>IF(D1447="","",IFERROR(INDEX(Setup!$B$24:$B$59,MATCH(D1447,Setup!$A$24:$A$59,0)),"Check category"))</f>
        <v/>
      </c>
      <c r="L1447" s="25">
        <f>IF(A1447="","",DATE(YEAR(A1447),MONTH(A1447),1))</f>
        <v/>
      </c>
      <c r="M1447" s="26">
        <f>IF(AND(E1447="",F1447=""),"",N(E1447)-N(F1447))</f>
        <v/>
      </c>
      <c r="N1447" s="28" t="n"/>
    </row>
    <row r="1448">
      <c r="A1448" s="27" t="n"/>
      <c r="B1448" s="28" t="n"/>
      <c r="C1448" s="28" t="n"/>
      <c r="D1448" s="28" t="n"/>
      <c r="E1448" s="29" t="n"/>
      <c r="F1448" s="29" t="n"/>
      <c r="G1448" s="28" t="n"/>
      <c r="H1448" s="28" t="n"/>
      <c r="I1448" s="28" t="n"/>
      <c r="J1448" s="28" t="n"/>
      <c r="K1448" s="24">
        <f>IF(D1448="","",IFERROR(INDEX(Setup!$B$24:$B$59,MATCH(D1448,Setup!$A$24:$A$59,0)),"Check category"))</f>
        <v/>
      </c>
      <c r="L1448" s="25">
        <f>IF(A1448="","",DATE(YEAR(A1448),MONTH(A1448),1))</f>
        <v/>
      </c>
      <c r="M1448" s="26">
        <f>IF(AND(E1448="",F1448=""),"",N(E1448)-N(F1448))</f>
        <v/>
      </c>
      <c r="N1448" s="28" t="n"/>
    </row>
    <row r="1449">
      <c r="A1449" s="27" t="n"/>
      <c r="B1449" s="28" t="n"/>
      <c r="C1449" s="28" t="n"/>
      <c r="D1449" s="28" t="n"/>
      <c r="E1449" s="29" t="n"/>
      <c r="F1449" s="29" t="n"/>
      <c r="G1449" s="28" t="n"/>
      <c r="H1449" s="28" t="n"/>
      <c r="I1449" s="28" t="n"/>
      <c r="J1449" s="28" t="n"/>
      <c r="K1449" s="24">
        <f>IF(D1449="","",IFERROR(INDEX(Setup!$B$24:$B$59,MATCH(D1449,Setup!$A$24:$A$59,0)),"Check category"))</f>
        <v/>
      </c>
      <c r="L1449" s="25">
        <f>IF(A1449="","",DATE(YEAR(A1449),MONTH(A1449),1))</f>
        <v/>
      </c>
      <c r="M1449" s="26">
        <f>IF(AND(E1449="",F1449=""),"",N(E1449)-N(F1449))</f>
        <v/>
      </c>
      <c r="N1449" s="28" t="n"/>
    </row>
    <row r="1450">
      <c r="A1450" s="27" t="n"/>
      <c r="B1450" s="28" t="n"/>
      <c r="C1450" s="28" t="n"/>
      <c r="D1450" s="28" t="n"/>
      <c r="E1450" s="29" t="n"/>
      <c r="F1450" s="29" t="n"/>
      <c r="G1450" s="28" t="n"/>
      <c r="H1450" s="28" t="n"/>
      <c r="I1450" s="28" t="n"/>
      <c r="J1450" s="28" t="n"/>
      <c r="K1450" s="24">
        <f>IF(D1450="","",IFERROR(INDEX(Setup!$B$24:$B$59,MATCH(D1450,Setup!$A$24:$A$59,0)),"Check category"))</f>
        <v/>
      </c>
      <c r="L1450" s="25">
        <f>IF(A1450="","",DATE(YEAR(A1450),MONTH(A1450),1))</f>
        <v/>
      </c>
      <c r="M1450" s="26">
        <f>IF(AND(E1450="",F1450=""),"",N(E1450)-N(F1450))</f>
        <v/>
      </c>
      <c r="N1450" s="28" t="n"/>
    </row>
    <row r="1451">
      <c r="A1451" s="27" t="n"/>
      <c r="B1451" s="28" t="n"/>
      <c r="C1451" s="28" t="n"/>
      <c r="D1451" s="28" t="n"/>
      <c r="E1451" s="29" t="n"/>
      <c r="F1451" s="29" t="n"/>
      <c r="G1451" s="28" t="n"/>
      <c r="H1451" s="28" t="n"/>
      <c r="I1451" s="28" t="n"/>
      <c r="J1451" s="28" t="n"/>
      <c r="K1451" s="24">
        <f>IF(D1451="","",IFERROR(INDEX(Setup!$B$24:$B$59,MATCH(D1451,Setup!$A$24:$A$59,0)),"Check category"))</f>
        <v/>
      </c>
      <c r="L1451" s="25">
        <f>IF(A1451="","",DATE(YEAR(A1451),MONTH(A1451),1))</f>
        <v/>
      </c>
      <c r="M1451" s="26">
        <f>IF(AND(E1451="",F1451=""),"",N(E1451)-N(F1451))</f>
        <v/>
      </c>
      <c r="N1451" s="28" t="n"/>
    </row>
    <row r="1452">
      <c r="A1452" s="27" t="n"/>
      <c r="B1452" s="28" t="n"/>
      <c r="C1452" s="28" t="n"/>
      <c r="D1452" s="28" t="n"/>
      <c r="E1452" s="29" t="n"/>
      <c r="F1452" s="29" t="n"/>
      <c r="G1452" s="28" t="n"/>
      <c r="H1452" s="28" t="n"/>
      <c r="I1452" s="28" t="n"/>
      <c r="J1452" s="28" t="n"/>
      <c r="K1452" s="24">
        <f>IF(D1452="","",IFERROR(INDEX(Setup!$B$24:$B$59,MATCH(D1452,Setup!$A$24:$A$59,0)),"Check category"))</f>
        <v/>
      </c>
      <c r="L1452" s="25">
        <f>IF(A1452="","",DATE(YEAR(A1452),MONTH(A1452),1))</f>
        <v/>
      </c>
      <c r="M1452" s="26">
        <f>IF(AND(E1452="",F1452=""),"",N(E1452)-N(F1452))</f>
        <v/>
      </c>
      <c r="N1452" s="28" t="n"/>
    </row>
    <row r="1453">
      <c r="A1453" s="27" t="n"/>
      <c r="B1453" s="28" t="n"/>
      <c r="C1453" s="28" t="n"/>
      <c r="D1453" s="28" t="n"/>
      <c r="E1453" s="29" t="n"/>
      <c r="F1453" s="29" t="n"/>
      <c r="G1453" s="28" t="n"/>
      <c r="H1453" s="28" t="n"/>
      <c r="I1453" s="28" t="n"/>
      <c r="J1453" s="28" t="n"/>
      <c r="K1453" s="24">
        <f>IF(D1453="","",IFERROR(INDEX(Setup!$B$24:$B$59,MATCH(D1453,Setup!$A$24:$A$59,0)),"Check category"))</f>
        <v/>
      </c>
      <c r="L1453" s="25">
        <f>IF(A1453="","",DATE(YEAR(A1453),MONTH(A1453),1))</f>
        <v/>
      </c>
      <c r="M1453" s="26">
        <f>IF(AND(E1453="",F1453=""),"",N(E1453)-N(F1453))</f>
        <v/>
      </c>
      <c r="N1453" s="28" t="n"/>
    </row>
    <row r="1454">
      <c r="A1454" s="27" t="n"/>
      <c r="B1454" s="28" t="n"/>
      <c r="C1454" s="28" t="n"/>
      <c r="D1454" s="28" t="n"/>
      <c r="E1454" s="29" t="n"/>
      <c r="F1454" s="29" t="n"/>
      <c r="G1454" s="28" t="n"/>
      <c r="H1454" s="28" t="n"/>
      <c r="I1454" s="28" t="n"/>
      <c r="J1454" s="28" t="n"/>
      <c r="K1454" s="24">
        <f>IF(D1454="","",IFERROR(INDEX(Setup!$B$24:$B$59,MATCH(D1454,Setup!$A$24:$A$59,0)),"Check category"))</f>
        <v/>
      </c>
      <c r="L1454" s="25">
        <f>IF(A1454="","",DATE(YEAR(A1454),MONTH(A1454),1))</f>
        <v/>
      </c>
      <c r="M1454" s="26">
        <f>IF(AND(E1454="",F1454=""),"",N(E1454)-N(F1454))</f>
        <v/>
      </c>
      <c r="N1454" s="28" t="n"/>
    </row>
    <row r="1455">
      <c r="A1455" s="27" t="n"/>
      <c r="B1455" s="28" t="n"/>
      <c r="C1455" s="28" t="n"/>
      <c r="D1455" s="28" t="n"/>
      <c r="E1455" s="29" t="n"/>
      <c r="F1455" s="29" t="n"/>
      <c r="G1455" s="28" t="n"/>
      <c r="H1455" s="28" t="n"/>
      <c r="I1455" s="28" t="n"/>
      <c r="J1455" s="28" t="n"/>
      <c r="K1455" s="24">
        <f>IF(D1455="","",IFERROR(INDEX(Setup!$B$24:$B$59,MATCH(D1455,Setup!$A$24:$A$59,0)),"Check category"))</f>
        <v/>
      </c>
      <c r="L1455" s="25">
        <f>IF(A1455="","",DATE(YEAR(A1455),MONTH(A1455),1))</f>
        <v/>
      </c>
      <c r="M1455" s="26">
        <f>IF(AND(E1455="",F1455=""),"",N(E1455)-N(F1455))</f>
        <v/>
      </c>
      <c r="N1455" s="28" t="n"/>
    </row>
    <row r="1456">
      <c r="A1456" s="27" t="n"/>
      <c r="B1456" s="28" t="n"/>
      <c r="C1456" s="28" t="n"/>
      <c r="D1456" s="28" t="n"/>
      <c r="E1456" s="29" t="n"/>
      <c r="F1456" s="29" t="n"/>
      <c r="G1456" s="28" t="n"/>
      <c r="H1456" s="28" t="n"/>
      <c r="I1456" s="28" t="n"/>
      <c r="J1456" s="28" t="n"/>
      <c r="K1456" s="24">
        <f>IF(D1456="","",IFERROR(INDEX(Setup!$B$24:$B$59,MATCH(D1456,Setup!$A$24:$A$59,0)),"Check category"))</f>
        <v/>
      </c>
      <c r="L1456" s="25">
        <f>IF(A1456="","",DATE(YEAR(A1456),MONTH(A1456),1))</f>
        <v/>
      </c>
      <c r="M1456" s="26">
        <f>IF(AND(E1456="",F1456=""),"",N(E1456)-N(F1456))</f>
        <v/>
      </c>
      <c r="N1456" s="28" t="n"/>
    </row>
    <row r="1457">
      <c r="A1457" s="27" t="n"/>
      <c r="B1457" s="28" t="n"/>
      <c r="C1457" s="28" t="n"/>
      <c r="D1457" s="28" t="n"/>
      <c r="E1457" s="29" t="n"/>
      <c r="F1457" s="29" t="n"/>
      <c r="G1457" s="28" t="n"/>
      <c r="H1457" s="28" t="n"/>
      <c r="I1457" s="28" t="n"/>
      <c r="J1457" s="28" t="n"/>
      <c r="K1457" s="24">
        <f>IF(D1457="","",IFERROR(INDEX(Setup!$B$24:$B$59,MATCH(D1457,Setup!$A$24:$A$59,0)),"Check category"))</f>
        <v/>
      </c>
      <c r="L1457" s="25">
        <f>IF(A1457="","",DATE(YEAR(A1457),MONTH(A1457),1))</f>
        <v/>
      </c>
      <c r="M1457" s="26">
        <f>IF(AND(E1457="",F1457=""),"",N(E1457)-N(F1457))</f>
        <v/>
      </c>
      <c r="N1457" s="28" t="n"/>
    </row>
    <row r="1458">
      <c r="A1458" s="27" t="n"/>
      <c r="B1458" s="28" t="n"/>
      <c r="C1458" s="28" t="n"/>
      <c r="D1458" s="28" t="n"/>
      <c r="E1458" s="29" t="n"/>
      <c r="F1458" s="29" t="n"/>
      <c r="G1458" s="28" t="n"/>
      <c r="H1458" s="28" t="n"/>
      <c r="I1458" s="28" t="n"/>
      <c r="J1458" s="28" t="n"/>
      <c r="K1458" s="24">
        <f>IF(D1458="","",IFERROR(INDEX(Setup!$B$24:$B$59,MATCH(D1458,Setup!$A$24:$A$59,0)),"Check category"))</f>
        <v/>
      </c>
      <c r="L1458" s="25">
        <f>IF(A1458="","",DATE(YEAR(A1458),MONTH(A1458),1))</f>
        <v/>
      </c>
      <c r="M1458" s="26">
        <f>IF(AND(E1458="",F1458=""),"",N(E1458)-N(F1458))</f>
        <v/>
      </c>
      <c r="N1458" s="28" t="n"/>
    </row>
    <row r="1459">
      <c r="A1459" s="27" t="n"/>
      <c r="B1459" s="28" t="n"/>
      <c r="C1459" s="28" t="n"/>
      <c r="D1459" s="28" t="n"/>
      <c r="E1459" s="29" t="n"/>
      <c r="F1459" s="29" t="n"/>
      <c r="G1459" s="28" t="n"/>
      <c r="H1459" s="28" t="n"/>
      <c r="I1459" s="28" t="n"/>
      <c r="J1459" s="28" t="n"/>
      <c r="K1459" s="24">
        <f>IF(D1459="","",IFERROR(INDEX(Setup!$B$24:$B$59,MATCH(D1459,Setup!$A$24:$A$59,0)),"Check category"))</f>
        <v/>
      </c>
      <c r="L1459" s="25">
        <f>IF(A1459="","",DATE(YEAR(A1459),MONTH(A1459),1))</f>
        <v/>
      </c>
      <c r="M1459" s="26">
        <f>IF(AND(E1459="",F1459=""),"",N(E1459)-N(F1459))</f>
        <v/>
      </c>
      <c r="N1459" s="28" t="n"/>
    </row>
    <row r="1460">
      <c r="A1460" s="27" t="n"/>
      <c r="B1460" s="28" t="n"/>
      <c r="C1460" s="28" t="n"/>
      <c r="D1460" s="28" t="n"/>
      <c r="E1460" s="29" t="n"/>
      <c r="F1460" s="29" t="n"/>
      <c r="G1460" s="28" t="n"/>
      <c r="H1460" s="28" t="n"/>
      <c r="I1460" s="28" t="n"/>
      <c r="J1460" s="28" t="n"/>
      <c r="K1460" s="24">
        <f>IF(D1460="","",IFERROR(INDEX(Setup!$B$24:$B$59,MATCH(D1460,Setup!$A$24:$A$59,0)),"Check category"))</f>
        <v/>
      </c>
      <c r="L1460" s="25">
        <f>IF(A1460="","",DATE(YEAR(A1460),MONTH(A1460),1))</f>
        <v/>
      </c>
      <c r="M1460" s="26">
        <f>IF(AND(E1460="",F1460=""),"",N(E1460)-N(F1460))</f>
        <v/>
      </c>
      <c r="N1460" s="28" t="n"/>
    </row>
    <row r="1461">
      <c r="A1461" s="27" t="n"/>
      <c r="B1461" s="28" t="n"/>
      <c r="C1461" s="28" t="n"/>
      <c r="D1461" s="28" t="n"/>
      <c r="E1461" s="29" t="n"/>
      <c r="F1461" s="29" t="n"/>
      <c r="G1461" s="28" t="n"/>
      <c r="H1461" s="28" t="n"/>
      <c r="I1461" s="28" t="n"/>
      <c r="J1461" s="28" t="n"/>
      <c r="K1461" s="24">
        <f>IF(D1461="","",IFERROR(INDEX(Setup!$B$24:$B$59,MATCH(D1461,Setup!$A$24:$A$59,0)),"Check category"))</f>
        <v/>
      </c>
      <c r="L1461" s="25">
        <f>IF(A1461="","",DATE(YEAR(A1461),MONTH(A1461),1))</f>
        <v/>
      </c>
      <c r="M1461" s="26">
        <f>IF(AND(E1461="",F1461=""),"",N(E1461)-N(F1461))</f>
        <v/>
      </c>
      <c r="N1461" s="28" t="n"/>
    </row>
    <row r="1462">
      <c r="A1462" s="27" t="n"/>
      <c r="B1462" s="28" t="n"/>
      <c r="C1462" s="28" t="n"/>
      <c r="D1462" s="28" t="n"/>
      <c r="E1462" s="29" t="n"/>
      <c r="F1462" s="29" t="n"/>
      <c r="G1462" s="28" t="n"/>
      <c r="H1462" s="28" t="n"/>
      <c r="I1462" s="28" t="n"/>
      <c r="J1462" s="28" t="n"/>
      <c r="K1462" s="24">
        <f>IF(D1462="","",IFERROR(INDEX(Setup!$B$24:$B$59,MATCH(D1462,Setup!$A$24:$A$59,0)),"Check category"))</f>
        <v/>
      </c>
      <c r="L1462" s="25">
        <f>IF(A1462="","",DATE(YEAR(A1462),MONTH(A1462),1))</f>
        <v/>
      </c>
      <c r="M1462" s="26">
        <f>IF(AND(E1462="",F1462=""),"",N(E1462)-N(F1462))</f>
        <v/>
      </c>
      <c r="N1462" s="28" t="n"/>
    </row>
    <row r="1463">
      <c r="A1463" s="27" t="n"/>
      <c r="B1463" s="28" t="n"/>
      <c r="C1463" s="28" t="n"/>
      <c r="D1463" s="28" t="n"/>
      <c r="E1463" s="29" t="n"/>
      <c r="F1463" s="29" t="n"/>
      <c r="G1463" s="28" t="n"/>
      <c r="H1463" s="28" t="n"/>
      <c r="I1463" s="28" t="n"/>
      <c r="J1463" s="28" t="n"/>
      <c r="K1463" s="24">
        <f>IF(D1463="","",IFERROR(INDEX(Setup!$B$24:$B$59,MATCH(D1463,Setup!$A$24:$A$59,0)),"Check category"))</f>
        <v/>
      </c>
      <c r="L1463" s="25">
        <f>IF(A1463="","",DATE(YEAR(A1463),MONTH(A1463),1))</f>
        <v/>
      </c>
      <c r="M1463" s="26">
        <f>IF(AND(E1463="",F1463=""),"",N(E1463)-N(F1463))</f>
        <v/>
      </c>
      <c r="N1463" s="28" t="n"/>
    </row>
    <row r="1464">
      <c r="A1464" s="27" t="n"/>
      <c r="B1464" s="28" t="n"/>
      <c r="C1464" s="28" t="n"/>
      <c r="D1464" s="28" t="n"/>
      <c r="E1464" s="29" t="n"/>
      <c r="F1464" s="29" t="n"/>
      <c r="G1464" s="28" t="n"/>
      <c r="H1464" s="28" t="n"/>
      <c r="I1464" s="28" t="n"/>
      <c r="J1464" s="28" t="n"/>
      <c r="K1464" s="24">
        <f>IF(D1464="","",IFERROR(INDEX(Setup!$B$24:$B$59,MATCH(D1464,Setup!$A$24:$A$59,0)),"Check category"))</f>
        <v/>
      </c>
      <c r="L1464" s="25">
        <f>IF(A1464="","",DATE(YEAR(A1464),MONTH(A1464),1))</f>
        <v/>
      </c>
      <c r="M1464" s="26">
        <f>IF(AND(E1464="",F1464=""),"",N(E1464)-N(F1464))</f>
        <v/>
      </c>
      <c r="N1464" s="28" t="n"/>
    </row>
    <row r="1465">
      <c r="A1465" s="27" t="n"/>
      <c r="B1465" s="28" t="n"/>
      <c r="C1465" s="28" t="n"/>
      <c r="D1465" s="28" t="n"/>
      <c r="E1465" s="29" t="n"/>
      <c r="F1465" s="29" t="n"/>
      <c r="G1465" s="28" t="n"/>
      <c r="H1465" s="28" t="n"/>
      <c r="I1465" s="28" t="n"/>
      <c r="J1465" s="28" t="n"/>
      <c r="K1465" s="24">
        <f>IF(D1465="","",IFERROR(INDEX(Setup!$B$24:$B$59,MATCH(D1465,Setup!$A$24:$A$59,0)),"Check category"))</f>
        <v/>
      </c>
      <c r="L1465" s="25">
        <f>IF(A1465="","",DATE(YEAR(A1465),MONTH(A1465),1))</f>
        <v/>
      </c>
      <c r="M1465" s="26">
        <f>IF(AND(E1465="",F1465=""),"",N(E1465)-N(F1465))</f>
        <v/>
      </c>
      <c r="N1465" s="28" t="n"/>
    </row>
    <row r="1466">
      <c r="A1466" s="27" t="n"/>
      <c r="B1466" s="28" t="n"/>
      <c r="C1466" s="28" t="n"/>
      <c r="D1466" s="28" t="n"/>
      <c r="E1466" s="29" t="n"/>
      <c r="F1466" s="29" t="n"/>
      <c r="G1466" s="28" t="n"/>
      <c r="H1466" s="28" t="n"/>
      <c r="I1466" s="28" t="n"/>
      <c r="J1466" s="28" t="n"/>
      <c r="K1466" s="24">
        <f>IF(D1466="","",IFERROR(INDEX(Setup!$B$24:$B$59,MATCH(D1466,Setup!$A$24:$A$59,0)),"Check category"))</f>
        <v/>
      </c>
      <c r="L1466" s="25">
        <f>IF(A1466="","",DATE(YEAR(A1466),MONTH(A1466),1))</f>
        <v/>
      </c>
      <c r="M1466" s="26">
        <f>IF(AND(E1466="",F1466=""),"",N(E1466)-N(F1466))</f>
        <v/>
      </c>
      <c r="N1466" s="28" t="n"/>
    </row>
    <row r="1467">
      <c r="A1467" s="27" t="n"/>
      <c r="B1467" s="28" t="n"/>
      <c r="C1467" s="28" t="n"/>
      <c r="D1467" s="28" t="n"/>
      <c r="E1467" s="29" t="n"/>
      <c r="F1467" s="29" t="n"/>
      <c r="G1467" s="28" t="n"/>
      <c r="H1467" s="28" t="n"/>
      <c r="I1467" s="28" t="n"/>
      <c r="J1467" s="28" t="n"/>
      <c r="K1467" s="24">
        <f>IF(D1467="","",IFERROR(INDEX(Setup!$B$24:$B$59,MATCH(D1467,Setup!$A$24:$A$59,0)),"Check category"))</f>
        <v/>
      </c>
      <c r="L1467" s="25">
        <f>IF(A1467="","",DATE(YEAR(A1467),MONTH(A1467),1))</f>
        <v/>
      </c>
      <c r="M1467" s="26">
        <f>IF(AND(E1467="",F1467=""),"",N(E1467)-N(F1467))</f>
        <v/>
      </c>
      <c r="N1467" s="28" t="n"/>
    </row>
    <row r="1468">
      <c r="A1468" s="27" t="n"/>
      <c r="B1468" s="28" t="n"/>
      <c r="C1468" s="28" t="n"/>
      <c r="D1468" s="28" t="n"/>
      <c r="E1468" s="29" t="n"/>
      <c r="F1468" s="29" t="n"/>
      <c r="G1468" s="28" t="n"/>
      <c r="H1468" s="28" t="n"/>
      <c r="I1468" s="28" t="n"/>
      <c r="J1468" s="28" t="n"/>
      <c r="K1468" s="24">
        <f>IF(D1468="","",IFERROR(INDEX(Setup!$B$24:$B$59,MATCH(D1468,Setup!$A$24:$A$59,0)),"Check category"))</f>
        <v/>
      </c>
      <c r="L1468" s="25">
        <f>IF(A1468="","",DATE(YEAR(A1468),MONTH(A1468),1))</f>
        <v/>
      </c>
      <c r="M1468" s="26">
        <f>IF(AND(E1468="",F1468=""),"",N(E1468)-N(F1468))</f>
        <v/>
      </c>
      <c r="N1468" s="28" t="n"/>
    </row>
    <row r="1469">
      <c r="A1469" s="27" t="n"/>
      <c r="B1469" s="28" t="n"/>
      <c r="C1469" s="28" t="n"/>
      <c r="D1469" s="28" t="n"/>
      <c r="E1469" s="29" t="n"/>
      <c r="F1469" s="29" t="n"/>
      <c r="G1469" s="28" t="n"/>
      <c r="H1469" s="28" t="n"/>
      <c r="I1469" s="28" t="n"/>
      <c r="J1469" s="28" t="n"/>
      <c r="K1469" s="24">
        <f>IF(D1469="","",IFERROR(INDEX(Setup!$B$24:$B$59,MATCH(D1469,Setup!$A$24:$A$59,0)),"Check category"))</f>
        <v/>
      </c>
      <c r="L1469" s="25">
        <f>IF(A1469="","",DATE(YEAR(A1469),MONTH(A1469),1))</f>
        <v/>
      </c>
      <c r="M1469" s="26">
        <f>IF(AND(E1469="",F1469=""),"",N(E1469)-N(F1469))</f>
        <v/>
      </c>
      <c r="N1469" s="28" t="n"/>
    </row>
    <row r="1470">
      <c r="A1470" s="27" t="n"/>
      <c r="B1470" s="28" t="n"/>
      <c r="C1470" s="28" t="n"/>
      <c r="D1470" s="28" t="n"/>
      <c r="E1470" s="29" t="n"/>
      <c r="F1470" s="29" t="n"/>
      <c r="G1470" s="28" t="n"/>
      <c r="H1470" s="28" t="n"/>
      <c r="I1470" s="28" t="n"/>
      <c r="J1470" s="28" t="n"/>
      <c r="K1470" s="24">
        <f>IF(D1470="","",IFERROR(INDEX(Setup!$B$24:$B$59,MATCH(D1470,Setup!$A$24:$A$59,0)),"Check category"))</f>
        <v/>
      </c>
      <c r="L1470" s="25">
        <f>IF(A1470="","",DATE(YEAR(A1470),MONTH(A1470),1))</f>
        <v/>
      </c>
      <c r="M1470" s="26">
        <f>IF(AND(E1470="",F1470=""),"",N(E1470)-N(F1470))</f>
        <v/>
      </c>
      <c r="N1470" s="28" t="n"/>
    </row>
    <row r="1471">
      <c r="A1471" s="27" t="n"/>
      <c r="B1471" s="28" t="n"/>
      <c r="C1471" s="28" t="n"/>
      <c r="D1471" s="28" t="n"/>
      <c r="E1471" s="29" t="n"/>
      <c r="F1471" s="29" t="n"/>
      <c r="G1471" s="28" t="n"/>
      <c r="H1471" s="28" t="n"/>
      <c r="I1471" s="28" t="n"/>
      <c r="J1471" s="28" t="n"/>
      <c r="K1471" s="24">
        <f>IF(D1471="","",IFERROR(INDEX(Setup!$B$24:$B$59,MATCH(D1471,Setup!$A$24:$A$59,0)),"Check category"))</f>
        <v/>
      </c>
      <c r="L1471" s="25">
        <f>IF(A1471="","",DATE(YEAR(A1471),MONTH(A1471),1))</f>
        <v/>
      </c>
      <c r="M1471" s="26">
        <f>IF(AND(E1471="",F1471=""),"",N(E1471)-N(F1471))</f>
        <v/>
      </c>
      <c r="N1471" s="28" t="n"/>
    </row>
    <row r="1472">
      <c r="A1472" s="27" t="n"/>
      <c r="B1472" s="28" t="n"/>
      <c r="C1472" s="28" t="n"/>
      <c r="D1472" s="28" t="n"/>
      <c r="E1472" s="29" t="n"/>
      <c r="F1472" s="29" t="n"/>
      <c r="G1472" s="28" t="n"/>
      <c r="H1472" s="28" t="n"/>
      <c r="I1472" s="28" t="n"/>
      <c r="J1472" s="28" t="n"/>
      <c r="K1472" s="24">
        <f>IF(D1472="","",IFERROR(INDEX(Setup!$B$24:$B$59,MATCH(D1472,Setup!$A$24:$A$59,0)),"Check category"))</f>
        <v/>
      </c>
      <c r="L1472" s="25">
        <f>IF(A1472="","",DATE(YEAR(A1472),MONTH(A1472),1))</f>
        <v/>
      </c>
      <c r="M1472" s="26">
        <f>IF(AND(E1472="",F1472=""),"",N(E1472)-N(F1472))</f>
        <v/>
      </c>
      <c r="N1472" s="28" t="n"/>
    </row>
    <row r="1473">
      <c r="A1473" s="27" t="n"/>
      <c r="B1473" s="28" t="n"/>
      <c r="C1473" s="28" t="n"/>
      <c r="D1473" s="28" t="n"/>
      <c r="E1473" s="29" t="n"/>
      <c r="F1473" s="29" t="n"/>
      <c r="G1473" s="28" t="n"/>
      <c r="H1473" s="28" t="n"/>
      <c r="I1473" s="28" t="n"/>
      <c r="J1473" s="28" t="n"/>
      <c r="K1473" s="24">
        <f>IF(D1473="","",IFERROR(INDEX(Setup!$B$24:$B$59,MATCH(D1473,Setup!$A$24:$A$59,0)),"Check category"))</f>
        <v/>
      </c>
      <c r="L1473" s="25">
        <f>IF(A1473="","",DATE(YEAR(A1473),MONTH(A1473),1))</f>
        <v/>
      </c>
      <c r="M1473" s="26">
        <f>IF(AND(E1473="",F1473=""),"",N(E1473)-N(F1473))</f>
        <v/>
      </c>
      <c r="N1473" s="28" t="n"/>
    </row>
    <row r="1474">
      <c r="A1474" s="27" t="n"/>
      <c r="B1474" s="28" t="n"/>
      <c r="C1474" s="28" t="n"/>
      <c r="D1474" s="28" t="n"/>
      <c r="E1474" s="29" t="n"/>
      <c r="F1474" s="29" t="n"/>
      <c r="G1474" s="28" t="n"/>
      <c r="H1474" s="28" t="n"/>
      <c r="I1474" s="28" t="n"/>
      <c r="J1474" s="28" t="n"/>
      <c r="K1474" s="24">
        <f>IF(D1474="","",IFERROR(INDEX(Setup!$B$24:$B$59,MATCH(D1474,Setup!$A$24:$A$59,0)),"Check category"))</f>
        <v/>
      </c>
      <c r="L1474" s="25">
        <f>IF(A1474="","",DATE(YEAR(A1474),MONTH(A1474),1))</f>
        <v/>
      </c>
      <c r="M1474" s="26">
        <f>IF(AND(E1474="",F1474=""),"",N(E1474)-N(F1474))</f>
        <v/>
      </c>
      <c r="N1474" s="28" t="n"/>
    </row>
    <row r="1475">
      <c r="A1475" s="27" t="n"/>
      <c r="B1475" s="28" t="n"/>
      <c r="C1475" s="28" t="n"/>
      <c r="D1475" s="28" t="n"/>
      <c r="E1475" s="29" t="n"/>
      <c r="F1475" s="29" t="n"/>
      <c r="G1475" s="28" t="n"/>
      <c r="H1475" s="28" t="n"/>
      <c r="I1475" s="28" t="n"/>
      <c r="J1475" s="28" t="n"/>
      <c r="K1475" s="24">
        <f>IF(D1475="","",IFERROR(INDEX(Setup!$B$24:$B$59,MATCH(D1475,Setup!$A$24:$A$59,0)),"Check category"))</f>
        <v/>
      </c>
      <c r="L1475" s="25">
        <f>IF(A1475="","",DATE(YEAR(A1475),MONTH(A1475),1))</f>
        <v/>
      </c>
      <c r="M1475" s="26">
        <f>IF(AND(E1475="",F1475=""),"",N(E1475)-N(F1475))</f>
        <v/>
      </c>
      <c r="N1475" s="28" t="n"/>
    </row>
    <row r="1476">
      <c r="A1476" s="27" t="n"/>
      <c r="B1476" s="28" t="n"/>
      <c r="C1476" s="28" t="n"/>
      <c r="D1476" s="28" t="n"/>
      <c r="E1476" s="29" t="n"/>
      <c r="F1476" s="29" t="n"/>
      <c r="G1476" s="28" t="n"/>
      <c r="H1476" s="28" t="n"/>
      <c r="I1476" s="28" t="n"/>
      <c r="J1476" s="28" t="n"/>
      <c r="K1476" s="24">
        <f>IF(D1476="","",IFERROR(INDEX(Setup!$B$24:$B$59,MATCH(D1476,Setup!$A$24:$A$59,0)),"Check category"))</f>
        <v/>
      </c>
      <c r="L1476" s="25">
        <f>IF(A1476="","",DATE(YEAR(A1476),MONTH(A1476),1))</f>
        <v/>
      </c>
      <c r="M1476" s="26">
        <f>IF(AND(E1476="",F1476=""),"",N(E1476)-N(F1476))</f>
        <v/>
      </c>
      <c r="N1476" s="28" t="n"/>
    </row>
    <row r="1477">
      <c r="A1477" s="27" t="n"/>
      <c r="B1477" s="28" t="n"/>
      <c r="C1477" s="28" t="n"/>
      <c r="D1477" s="28" t="n"/>
      <c r="E1477" s="29" t="n"/>
      <c r="F1477" s="29" t="n"/>
      <c r="G1477" s="28" t="n"/>
      <c r="H1477" s="28" t="n"/>
      <c r="I1477" s="28" t="n"/>
      <c r="J1477" s="28" t="n"/>
      <c r="K1477" s="24">
        <f>IF(D1477="","",IFERROR(INDEX(Setup!$B$24:$B$59,MATCH(D1477,Setup!$A$24:$A$59,0)),"Check category"))</f>
        <v/>
      </c>
      <c r="L1477" s="25">
        <f>IF(A1477="","",DATE(YEAR(A1477),MONTH(A1477),1))</f>
        <v/>
      </c>
      <c r="M1477" s="26">
        <f>IF(AND(E1477="",F1477=""),"",N(E1477)-N(F1477))</f>
        <v/>
      </c>
      <c r="N1477" s="28" t="n"/>
    </row>
    <row r="1478">
      <c r="A1478" s="27" t="n"/>
      <c r="B1478" s="28" t="n"/>
      <c r="C1478" s="28" t="n"/>
      <c r="D1478" s="28" t="n"/>
      <c r="E1478" s="29" t="n"/>
      <c r="F1478" s="29" t="n"/>
      <c r="G1478" s="28" t="n"/>
      <c r="H1478" s="28" t="n"/>
      <c r="I1478" s="28" t="n"/>
      <c r="J1478" s="28" t="n"/>
      <c r="K1478" s="24">
        <f>IF(D1478="","",IFERROR(INDEX(Setup!$B$24:$B$59,MATCH(D1478,Setup!$A$24:$A$59,0)),"Check category"))</f>
        <v/>
      </c>
      <c r="L1478" s="25">
        <f>IF(A1478="","",DATE(YEAR(A1478),MONTH(A1478),1))</f>
        <v/>
      </c>
      <c r="M1478" s="26">
        <f>IF(AND(E1478="",F1478=""),"",N(E1478)-N(F1478))</f>
        <v/>
      </c>
      <c r="N1478" s="28" t="n"/>
    </row>
    <row r="1479">
      <c r="A1479" s="27" t="n"/>
      <c r="B1479" s="28" t="n"/>
      <c r="C1479" s="28" t="n"/>
      <c r="D1479" s="28" t="n"/>
      <c r="E1479" s="29" t="n"/>
      <c r="F1479" s="29" t="n"/>
      <c r="G1479" s="28" t="n"/>
      <c r="H1479" s="28" t="n"/>
      <c r="I1479" s="28" t="n"/>
      <c r="J1479" s="28" t="n"/>
      <c r="K1479" s="24">
        <f>IF(D1479="","",IFERROR(INDEX(Setup!$B$24:$B$59,MATCH(D1479,Setup!$A$24:$A$59,0)),"Check category"))</f>
        <v/>
      </c>
      <c r="L1479" s="25">
        <f>IF(A1479="","",DATE(YEAR(A1479),MONTH(A1479),1))</f>
        <v/>
      </c>
      <c r="M1479" s="26">
        <f>IF(AND(E1479="",F1479=""),"",N(E1479)-N(F1479))</f>
        <v/>
      </c>
      <c r="N1479" s="28" t="n"/>
    </row>
    <row r="1480">
      <c r="A1480" s="27" t="n"/>
      <c r="B1480" s="28" t="n"/>
      <c r="C1480" s="28" t="n"/>
      <c r="D1480" s="28" t="n"/>
      <c r="E1480" s="29" t="n"/>
      <c r="F1480" s="29" t="n"/>
      <c r="G1480" s="28" t="n"/>
      <c r="H1480" s="28" t="n"/>
      <c r="I1480" s="28" t="n"/>
      <c r="J1480" s="28" t="n"/>
      <c r="K1480" s="24">
        <f>IF(D1480="","",IFERROR(INDEX(Setup!$B$24:$B$59,MATCH(D1480,Setup!$A$24:$A$59,0)),"Check category"))</f>
        <v/>
      </c>
      <c r="L1480" s="25">
        <f>IF(A1480="","",DATE(YEAR(A1480),MONTH(A1480),1))</f>
        <v/>
      </c>
      <c r="M1480" s="26">
        <f>IF(AND(E1480="",F1480=""),"",N(E1480)-N(F1480))</f>
        <v/>
      </c>
      <c r="N1480" s="28" t="n"/>
    </row>
    <row r="1481">
      <c r="A1481" s="27" t="n"/>
      <c r="B1481" s="28" t="n"/>
      <c r="C1481" s="28" t="n"/>
      <c r="D1481" s="28" t="n"/>
      <c r="E1481" s="29" t="n"/>
      <c r="F1481" s="29" t="n"/>
      <c r="G1481" s="28" t="n"/>
      <c r="H1481" s="28" t="n"/>
      <c r="I1481" s="28" t="n"/>
      <c r="J1481" s="28" t="n"/>
      <c r="K1481" s="24">
        <f>IF(D1481="","",IFERROR(INDEX(Setup!$B$24:$B$59,MATCH(D1481,Setup!$A$24:$A$59,0)),"Check category"))</f>
        <v/>
      </c>
      <c r="L1481" s="25">
        <f>IF(A1481="","",DATE(YEAR(A1481),MONTH(A1481),1))</f>
        <v/>
      </c>
      <c r="M1481" s="26">
        <f>IF(AND(E1481="",F1481=""),"",N(E1481)-N(F1481))</f>
        <v/>
      </c>
      <c r="N1481" s="28" t="n"/>
    </row>
    <row r="1482">
      <c r="A1482" s="27" t="n"/>
      <c r="B1482" s="28" t="n"/>
      <c r="C1482" s="28" t="n"/>
      <c r="D1482" s="28" t="n"/>
      <c r="E1482" s="29" t="n"/>
      <c r="F1482" s="29" t="n"/>
      <c r="G1482" s="28" t="n"/>
      <c r="H1482" s="28" t="n"/>
      <c r="I1482" s="28" t="n"/>
      <c r="J1482" s="28" t="n"/>
      <c r="K1482" s="24">
        <f>IF(D1482="","",IFERROR(INDEX(Setup!$B$24:$B$59,MATCH(D1482,Setup!$A$24:$A$59,0)),"Check category"))</f>
        <v/>
      </c>
      <c r="L1482" s="25">
        <f>IF(A1482="","",DATE(YEAR(A1482),MONTH(A1482),1))</f>
        <v/>
      </c>
      <c r="M1482" s="26">
        <f>IF(AND(E1482="",F1482=""),"",N(E1482)-N(F1482))</f>
        <v/>
      </c>
      <c r="N1482" s="28" t="n"/>
    </row>
    <row r="1483">
      <c r="A1483" s="27" t="n"/>
      <c r="B1483" s="28" t="n"/>
      <c r="C1483" s="28" t="n"/>
      <c r="D1483" s="28" t="n"/>
      <c r="E1483" s="29" t="n"/>
      <c r="F1483" s="29" t="n"/>
      <c r="G1483" s="28" t="n"/>
      <c r="H1483" s="28" t="n"/>
      <c r="I1483" s="28" t="n"/>
      <c r="J1483" s="28" t="n"/>
      <c r="K1483" s="24">
        <f>IF(D1483="","",IFERROR(INDEX(Setup!$B$24:$B$59,MATCH(D1483,Setup!$A$24:$A$59,0)),"Check category"))</f>
        <v/>
      </c>
      <c r="L1483" s="25">
        <f>IF(A1483="","",DATE(YEAR(A1483),MONTH(A1483),1))</f>
        <v/>
      </c>
      <c r="M1483" s="26">
        <f>IF(AND(E1483="",F1483=""),"",N(E1483)-N(F1483))</f>
        <v/>
      </c>
      <c r="N1483" s="28" t="n"/>
    </row>
    <row r="1484">
      <c r="A1484" s="27" t="n"/>
      <c r="B1484" s="28" t="n"/>
      <c r="C1484" s="28" t="n"/>
      <c r="D1484" s="28" t="n"/>
      <c r="E1484" s="29" t="n"/>
      <c r="F1484" s="29" t="n"/>
      <c r="G1484" s="28" t="n"/>
      <c r="H1484" s="28" t="n"/>
      <c r="I1484" s="28" t="n"/>
      <c r="J1484" s="28" t="n"/>
      <c r="K1484" s="24">
        <f>IF(D1484="","",IFERROR(INDEX(Setup!$B$24:$B$59,MATCH(D1484,Setup!$A$24:$A$59,0)),"Check category"))</f>
        <v/>
      </c>
      <c r="L1484" s="25">
        <f>IF(A1484="","",DATE(YEAR(A1484),MONTH(A1484),1))</f>
        <v/>
      </c>
      <c r="M1484" s="26">
        <f>IF(AND(E1484="",F1484=""),"",N(E1484)-N(F1484))</f>
        <v/>
      </c>
      <c r="N1484" s="28" t="n"/>
    </row>
    <row r="1485">
      <c r="A1485" s="27" t="n"/>
      <c r="B1485" s="28" t="n"/>
      <c r="C1485" s="28" t="n"/>
      <c r="D1485" s="28" t="n"/>
      <c r="E1485" s="29" t="n"/>
      <c r="F1485" s="29" t="n"/>
      <c r="G1485" s="28" t="n"/>
      <c r="H1485" s="28" t="n"/>
      <c r="I1485" s="28" t="n"/>
      <c r="J1485" s="28" t="n"/>
      <c r="K1485" s="24">
        <f>IF(D1485="","",IFERROR(INDEX(Setup!$B$24:$B$59,MATCH(D1485,Setup!$A$24:$A$59,0)),"Check category"))</f>
        <v/>
      </c>
      <c r="L1485" s="25">
        <f>IF(A1485="","",DATE(YEAR(A1485),MONTH(A1485),1))</f>
        <v/>
      </c>
      <c r="M1485" s="26">
        <f>IF(AND(E1485="",F1485=""),"",N(E1485)-N(F1485))</f>
        <v/>
      </c>
      <c r="N1485" s="28" t="n"/>
    </row>
    <row r="1486">
      <c r="A1486" s="27" t="n"/>
      <c r="B1486" s="28" t="n"/>
      <c r="C1486" s="28" t="n"/>
      <c r="D1486" s="28" t="n"/>
      <c r="E1486" s="29" t="n"/>
      <c r="F1486" s="29" t="n"/>
      <c r="G1486" s="28" t="n"/>
      <c r="H1486" s="28" t="n"/>
      <c r="I1486" s="28" t="n"/>
      <c r="J1486" s="28" t="n"/>
      <c r="K1486" s="24">
        <f>IF(D1486="","",IFERROR(INDEX(Setup!$B$24:$B$59,MATCH(D1486,Setup!$A$24:$A$59,0)),"Check category"))</f>
        <v/>
      </c>
      <c r="L1486" s="25">
        <f>IF(A1486="","",DATE(YEAR(A1486),MONTH(A1486),1))</f>
        <v/>
      </c>
      <c r="M1486" s="26">
        <f>IF(AND(E1486="",F1486=""),"",N(E1486)-N(F1486))</f>
        <v/>
      </c>
      <c r="N1486" s="28" t="n"/>
    </row>
    <row r="1487">
      <c r="A1487" s="27" t="n"/>
      <c r="B1487" s="28" t="n"/>
      <c r="C1487" s="28" t="n"/>
      <c r="D1487" s="28" t="n"/>
      <c r="E1487" s="29" t="n"/>
      <c r="F1487" s="29" t="n"/>
      <c r="G1487" s="28" t="n"/>
      <c r="H1487" s="28" t="n"/>
      <c r="I1487" s="28" t="n"/>
      <c r="J1487" s="28" t="n"/>
      <c r="K1487" s="24">
        <f>IF(D1487="","",IFERROR(INDEX(Setup!$B$24:$B$59,MATCH(D1487,Setup!$A$24:$A$59,0)),"Check category"))</f>
        <v/>
      </c>
      <c r="L1487" s="25">
        <f>IF(A1487="","",DATE(YEAR(A1487),MONTH(A1487),1))</f>
        <v/>
      </c>
      <c r="M1487" s="26">
        <f>IF(AND(E1487="",F1487=""),"",N(E1487)-N(F1487))</f>
        <v/>
      </c>
      <c r="N1487" s="28" t="n"/>
    </row>
    <row r="1488">
      <c r="A1488" s="27" t="n"/>
      <c r="B1488" s="28" t="n"/>
      <c r="C1488" s="28" t="n"/>
      <c r="D1488" s="28" t="n"/>
      <c r="E1488" s="29" t="n"/>
      <c r="F1488" s="29" t="n"/>
      <c r="G1488" s="28" t="n"/>
      <c r="H1488" s="28" t="n"/>
      <c r="I1488" s="28" t="n"/>
      <c r="J1488" s="28" t="n"/>
      <c r="K1488" s="24">
        <f>IF(D1488="","",IFERROR(INDEX(Setup!$B$24:$B$59,MATCH(D1488,Setup!$A$24:$A$59,0)),"Check category"))</f>
        <v/>
      </c>
      <c r="L1488" s="25">
        <f>IF(A1488="","",DATE(YEAR(A1488),MONTH(A1488),1))</f>
        <v/>
      </c>
      <c r="M1488" s="26">
        <f>IF(AND(E1488="",F1488=""),"",N(E1488)-N(F1488))</f>
        <v/>
      </c>
      <c r="N1488" s="28" t="n"/>
    </row>
    <row r="1489">
      <c r="A1489" s="27" t="n"/>
      <c r="B1489" s="28" t="n"/>
      <c r="C1489" s="28" t="n"/>
      <c r="D1489" s="28" t="n"/>
      <c r="E1489" s="29" t="n"/>
      <c r="F1489" s="29" t="n"/>
      <c r="G1489" s="28" t="n"/>
      <c r="H1489" s="28" t="n"/>
      <c r="I1489" s="28" t="n"/>
      <c r="J1489" s="28" t="n"/>
      <c r="K1489" s="24">
        <f>IF(D1489="","",IFERROR(INDEX(Setup!$B$24:$B$59,MATCH(D1489,Setup!$A$24:$A$59,0)),"Check category"))</f>
        <v/>
      </c>
      <c r="L1489" s="25">
        <f>IF(A1489="","",DATE(YEAR(A1489),MONTH(A1489),1))</f>
        <v/>
      </c>
      <c r="M1489" s="26">
        <f>IF(AND(E1489="",F1489=""),"",N(E1489)-N(F1489))</f>
        <v/>
      </c>
      <c r="N1489" s="28" t="n"/>
    </row>
    <row r="1490">
      <c r="A1490" s="27" t="n"/>
      <c r="B1490" s="28" t="n"/>
      <c r="C1490" s="28" t="n"/>
      <c r="D1490" s="28" t="n"/>
      <c r="E1490" s="29" t="n"/>
      <c r="F1490" s="29" t="n"/>
      <c r="G1490" s="28" t="n"/>
      <c r="H1490" s="28" t="n"/>
      <c r="I1490" s="28" t="n"/>
      <c r="J1490" s="28" t="n"/>
      <c r="K1490" s="24">
        <f>IF(D1490="","",IFERROR(INDEX(Setup!$B$24:$B$59,MATCH(D1490,Setup!$A$24:$A$59,0)),"Check category"))</f>
        <v/>
      </c>
      <c r="L1490" s="25">
        <f>IF(A1490="","",DATE(YEAR(A1490),MONTH(A1490),1))</f>
        <v/>
      </c>
      <c r="M1490" s="26">
        <f>IF(AND(E1490="",F1490=""),"",N(E1490)-N(F1490))</f>
        <v/>
      </c>
      <c r="N1490" s="28" t="n"/>
    </row>
    <row r="1491">
      <c r="A1491" s="27" t="n"/>
      <c r="B1491" s="28" t="n"/>
      <c r="C1491" s="28" t="n"/>
      <c r="D1491" s="28" t="n"/>
      <c r="E1491" s="29" t="n"/>
      <c r="F1491" s="29" t="n"/>
      <c r="G1491" s="28" t="n"/>
      <c r="H1491" s="28" t="n"/>
      <c r="I1491" s="28" t="n"/>
      <c r="J1491" s="28" t="n"/>
      <c r="K1491" s="24">
        <f>IF(D1491="","",IFERROR(INDEX(Setup!$B$24:$B$59,MATCH(D1491,Setup!$A$24:$A$59,0)),"Check category"))</f>
        <v/>
      </c>
      <c r="L1491" s="25">
        <f>IF(A1491="","",DATE(YEAR(A1491),MONTH(A1491),1))</f>
        <v/>
      </c>
      <c r="M1491" s="26">
        <f>IF(AND(E1491="",F1491=""),"",N(E1491)-N(F1491))</f>
        <v/>
      </c>
      <c r="N1491" s="28" t="n"/>
    </row>
    <row r="1492">
      <c r="A1492" s="27" t="n"/>
      <c r="B1492" s="28" t="n"/>
      <c r="C1492" s="28" t="n"/>
      <c r="D1492" s="28" t="n"/>
      <c r="E1492" s="29" t="n"/>
      <c r="F1492" s="29" t="n"/>
      <c r="G1492" s="28" t="n"/>
      <c r="H1492" s="28" t="n"/>
      <c r="I1492" s="28" t="n"/>
      <c r="J1492" s="28" t="n"/>
      <c r="K1492" s="24">
        <f>IF(D1492="","",IFERROR(INDEX(Setup!$B$24:$B$59,MATCH(D1492,Setup!$A$24:$A$59,0)),"Check category"))</f>
        <v/>
      </c>
      <c r="L1492" s="25">
        <f>IF(A1492="","",DATE(YEAR(A1492),MONTH(A1492),1))</f>
        <v/>
      </c>
      <c r="M1492" s="26">
        <f>IF(AND(E1492="",F1492=""),"",N(E1492)-N(F1492))</f>
        <v/>
      </c>
      <c r="N1492" s="28" t="n"/>
    </row>
    <row r="1493">
      <c r="A1493" s="27" t="n"/>
      <c r="B1493" s="28" t="n"/>
      <c r="C1493" s="28" t="n"/>
      <c r="D1493" s="28" t="n"/>
      <c r="E1493" s="29" t="n"/>
      <c r="F1493" s="29" t="n"/>
      <c r="G1493" s="28" t="n"/>
      <c r="H1493" s="28" t="n"/>
      <c r="I1493" s="28" t="n"/>
      <c r="J1493" s="28" t="n"/>
      <c r="K1493" s="24">
        <f>IF(D1493="","",IFERROR(INDEX(Setup!$B$24:$B$59,MATCH(D1493,Setup!$A$24:$A$59,0)),"Check category"))</f>
        <v/>
      </c>
      <c r="L1493" s="25">
        <f>IF(A1493="","",DATE(YEAR(A1493),MONTH(A1493),1))</f>
        <v/>
      </c>
      <c r="M1493" s="26">
        <f>IF(AND(E1493="",F1493=""),"",N(E1493)-N(F1493))</f>
        <v/>
      </c>
      <c r="N1493" s="28" t="n"/>
    </row>
    <row r="1494">
      <c r="A1494" s="27" t="n"/>
      <c r="B1494" s="28" t="n"/>
      <c r="C1494" s="28" t="n"/>
      <c r="D1494" s="28" t="n"/>
      <c r="E1494" s="29" t="n"/>
      <c r="F1494" s="29" t="n"/>
      <c r="G1494" s="28" t="n"/>
      <c r="H1494" s="28" t="n"/>
      <c r="I1494" s="28" t="n"/>
      <c r="J1494" s="28" t="n"/>
      <c r="K1494" s="24">
        <f>IF(D1494="","",IFERROR(INDEX(Setup!$B$24:$B$59,MATCH(D1494,Setup!$A$24:$A$59,0)),"Check category"))</f>
        <v/>
      </c>
      <c r="L1494" s="25">
        <f>IF(A1494="","",DATE(YEAR(A1494),MONTH(A1494),1))</f>
        <v/>
      </c>
      <c r="M1494" s="26">
        <f>IF(AND(E1494="",F1494=""),"",N(E1494)-N(F1494))</f>
        <v/>
      </c>
      <c r="N1494" s="28" t="n"/>
    </row>
    <row r="1495">
      <c r="A1495" s="27" t="n"/>
      <c r="B1495" s="28" t="n"/>
      <c r="C1495" s="28" t="n"/>
      <c r="D1495" s="28" t="n"/>
      <c r="E1495" s="29" t="n"/>
      <c r="F1495" s="29" t="n"/>
      <c r="G1495" s="28" t="n"/>
      <c r="H1495" s="28" t="n"/>
      <c r="I1495" s="28" t="n"/>
      <c r="J1495" s="28" t="n"/>
      <c r="K1495" s="24">
        <f>IF(D1495="","",IFERROR(INDEX(Setup!$B$24:$B$59,MATCH(D1495,Setup!$A$24:$A$59,0)),"Check category"))</f>
        <v/>
      </c>
      <c r="L1495" s="25">
        <f>IF(A1495="","",DATE(YEAR(A1495),MONTH(A1495),1))</f>
        <v/>
      </c>
      <c r="M1495" s="26">
        <f>IF(AND(E1495="",F1495=""),"",N(E1495)-N(F1495))</f>
        <v/>
      </c>
      <c r="N1495" s="28" t="n"/>
    </row>
    <row r="1496">
      <c r="A1496" s="27" t="n"/>
      <c r="B1496" s="28" t="n"/>
      <c r="C1496" s="28" t="n"/>
      <c r="D1496" s="28" t="n"/>
      <c r="E1496" s="29" t="n"/>
      <c r="F1496" s="29" t="n"/>
      <c r="G1496" s="28" t="n"/>
      <c r="H1496" s="28" t="n"/>
      <c r="I1496" s="28" t="n"/>
      <c r="J1496" s="28" t="n"/>
      <c r="K1496" s="24">
        <f>IF(D1496="","",IFERROR(INDEX(Setup!$B$24:$B$59,MATCH(D1496,Setup!$A$24:$A$59,0)),"Check category"))</f>
        <v/>
      </c>
      <c r="L1496" s="25">
        <f>IF(A1496="","",DATE(YEAR(A1496),MONTH(A1496),1))</f>
        <v/>
      </c>
      <c r="M1496" s="26">
        <f>IF(AND(E1496="",F1496=""),"",N(E1496)-N(F1496))</f>
        <v/>
      </c>
      <c r="N1496" s="28" t="n"/>
    </row>
    <row r="1497">
      <c r="A1497" s="27" t="n"/>
      <c r="B1497" s="28" t="n"/>
      <c r="C1497" s="28" t="n"/>
      <c r="D1497" s="28" t="n"/>
      <c r="E1497" s="29" t="n"/>
      <c r="F1497" s="29" t="n"/>
      <c r="G1497" s="28" t="n"/>
      <c r="H1497" s="28" t="n"/>
      <c r="I1497" s="28" t="n"/>
      <c r="J1497" s="28" t="n"/>
      <c r="K1497" s="24">
        <f>IF(D1497="","",IFERROR(INDEX(Setup!$B$24:$B$59,MATCH(D1497,Setup!$A$24:$A$59,0)),"Check category"))</f>
        <v/>
      </c>
      <c r="L1497" s="25">
        <f>IF(A1497="","",DATE(YEAR(A1497),MONTH(A1497),1))</f>
        <v/>
      </c>
      <c r="M1497" s="26">
        <f>IF(AND(E1497="",F1497=""),"",N(E1497)-N(F1497))</f>
        <v/>
      </c>
      <c r="N1497" s="28" t="n"/>
    </row>
    <row r="1498">
      <c r="A1498" s="27" t="n"/>
      <c r="B1498" s="28" t="n"/>
      <c r="C1498" s="28" t="n"/>
      <c r="D1498" s="28" t="n"/>
      <c r="E1498" s="29" t="n"/>
      <c r="F1498" s="29" t="n"/>
      <c r="G1498" s="28" t="n"/>
      <c r="H1498" s="28" t="n"/>
      <c r="I1498" s="28" t="n"/>
      <c r="J1498" s="28" t="n"/>
      <c r="K1498" s="24">
        <f>IF(D1498="","",IFERROR(INDEX(Setup!$B$24:$B$59,MATCH(D1498,Setup!$A$24:$A$59,0)),"Check category"))</f>
        <v/>
      </c>
      <c r="L1498" s="25">
        <f>IF(A1498="","",DATE(YEAR(A1498),MONTH(A1498),1))</f>
        <v/>
      </c>
      <c r="M1498" s="26">
        <f>IF(AND(E1498="",F1498=""),"",N(E1498)-N(F1498))</f>
        <v/>
      </c>
      <c r="N1498" s="28" t="n"/>
    </row>
    <row r="1499">
      <c r="A1499" s="27" t="n"/>
      <c r="B1499" s="28" t="n"/>
      <c r="C1499" s="28" t="n"/>
      <c r="D1499" s="28" t="n"/>
      <c r="E1499" s="29" t="n"/>
      <c r="F1499" s="29" t="n"/>
      <c r="G1499" s="28" t="n"/>
      <c r="H1499" s="28" t="n"/>
      <c r="I1499" s="28" t="n"/>
      <c r="J1499" s="28" t="n"/>
      <c r="K1499" s="24">
        <f>IF(D1499="","",IFERROR(INDEX(Setup!$B$24:$B$59,MATCH(D1499,Setup!$A$24:$A$59,0)),"Check category"))</f>
        <v/>
      </c>
      <c r="L1499" s="25">
        <f>IF(A1499="","",DATE(YEAR(A1499),MONTH(A1499),1))</f>
        <v/>
      </c>
      <c r="M1499" s="26">
        <f>IF(AND(E1499="",F1499=""),"",N(E1499)-N(F1499))</f>
        <v/>
      </c>
      <c r="N1499" s="28" t="n"/>
    </row>
    <row r="1500">
      <c r="A1500" s="27" t="n"/>
      <c r="B1500" s="28" t="n"/>
      <c r="C1500" s="28" t="n"/>
      <c r="D1500" s="28" t="n"/>
      <c r="E1500" s="29" t="n"/>
      <c r="F1500" s="29" t="n"/>
      <c r="G1500" s="28" t="n"/>
      <c r="H1500" s="28" t="n"/>
      <c r="I1500" s="28" t="n"/>
      <c r="J1500" s="28" t="n"/>
      <c r="K1500" s="24">
        <f>IF(D1500="","",IFERROR(INDEX(Setup!$B$24:$B$59,MATCH(D1500,Setup!$A$24:$A$59,0)),"Check category"))</f>
        <v/>
      </c>
      <c r="L1500" s="25">
        <f>IF(A1500="","",DATE(YEAR(A1500),MONTH(A1500),1))</f>
        <v/>
      </c>
      <c r="M1500" s="26">
        <f>IF(AND(E1500="",F1500=""),"",N(E1500)-N(F1500))</f>
        <v/>
      </c>
      <c r="N1500" s="28" t="n"/>
    </row>
    <row r="1501">
      <c r="A1501" s="27" t="n"/>
      <c r="B1501" s="28" t="n"/>
      <c r="C1501" s="28" t="n"/>
      <c r="D1501" s="28" t="n"/>
      <c r="E1501" s="29" t="n"/>
      <c r="F1501" s="29" t="n"/>
      <c r="G1501" s="28" t="n"/>
      <c r="H1501" s="28" t="n"/>
      <c r="I1501" s="28" t="n"/>
      <c r="J1501" s="28" t="n"/>
      <c r="K1501" s="24">
        <f>IF(D1501="","",IFERROR(INDEX(Setup!$B$24:$B$59,MATCH(D1501,Setup!$A$24:$A$59,0)),"Check category"))</f>
        <v/>
      </c>
      <c r="L1501" s="25">
        <f>IF(A1501="","",DATE(YEAR(A1501),MONTH(A1501),1))</f>
        <v/>
      </c>
      <c r="M1501" s="26">
        <f>IF(AND(E1501="",F1501=""),"",N(E1501)-N(F1501))</f>
        <v/>
      </c>
      <c r="N1501" s="28" t="n"/>
    </row>
    <row r="1502">
      <c r="A1502" s="27" t="n"/>
      <c r="B1502" s="28" t="n"/>
      <c r="C1502" s="28" t="n"/>
      <c r="D1502" s="28" t="n"/>
      <c r="E1502" s="29" t="n"/>
      <c r="F1502" s="29" t="n"/>
      <c r="G1502" s="28" t="n"/>
      <c r="H1502" s="28" t="n"/>
      <c r="I1502" s="28" t="n"/>
      <c r="J1502" s="28" t="n"/>
      <c r="K1502" s="24">
        <f>IF(D1502="","",IFERROR(INDEX(Setup!$B$24:$B$59,MATCH(D1502,Setup!$A$24:$A$59,0)),"Check category"))</f>
        <v/>
      </c>
      <c r="L1502" s="25">
        <f>IF(A1502="","",DATE(YEAR(A1502),MONTH(A1502),1))</f>
        <v/>
      </c>
      <c r="M1502" s="26">
        <f>IF(AND(E1502="",F1502=""),"",N(E1502)-N(F1502))</f>
        <v/>
      </c>
      <c r="N1502" s="28" t="n"/>
    </row>
    <row r="1503">
      <c r="A1503" s="27" t="n"/>
      <c r="B1503" s="28" t="n"/>
      <c r="C1503" s="28" t="n"/>
      <c r="D1503" s="28" t="n"/>
      <c r="E1503" s="29" t="n"/>
      <c r="F1503" s="29" t="n"/>
      <c r="G1503" s="28" t="n"/>
      <c r="H1503" s="28" t="n"/>
      <c r="I1503" s="28" t="n"/>
      <c r="J1503" s="28" t="n"/>
      <c r="K1503" s="24">
        <f>IF(D1503="","",IFERROR(INDEX(Setup!$B$24:$B$59,MATCH(D1503,Setup!$A$24:$A$59,0)),"Check category"))</f>
        <v/>
      </c>
      <c r="L1503" s="25">
        <f>IF(A1503="","",DATE(YEAR(A1503),MONTH(A1503),1))</f>
        <v/>
      </c>
      <c r="M1503" s="26">
        <f>IF(AND(E1503="",F1503=""),"",N(E1503)-N(F1503))</f>
        <v/>
      </c>
      <c r="N1503" s="28" t="n"/>
    </row>
    <row r="1504">
      <c r="A1504" s="27" t="n"/>
      <c r="B1504" s="28" t="n"/>
      <c r="C1504" s="28" t="n"/>
      <c r="D1504" s="28" t="n"/>
      <c r="E1504" s="29" t="n"/>
      <c r="F1504" s="29" t="n"/>
      <c r="G1504" s="28" t="n"/>
      <c r="H1504" s="28" t="n"/>
      <c r="I1504" s="28" t="n"/>
      <c r="J1504" s="28" t="n"/>
      <c r="K1504" s="24">
        <f>IF(D1504="","",IFERROR(INDEX(Setup!$B$24:$B$59,MATCH(D1504,Setup!$A$24:$A$59,0)),"Check category"))</f>
        <v/>
      </c>
      <c r="L1504" s="25">
        <f>IF(A1504="","",DATE(YEAR(A1504),MONTH(A1504),1))</f>
        <v/>
      </c>
      <c r="M1504" s="26">
        <f>IF(AND(E1504="",F1504=""),"",N(E1504)-N(F1504))</f>
        <v/>
      </c>
      <c r="N1504" s="28" t="n"/>
    </row>
  </sheetData>
  <autoFilter ref="A4:N1504"/>
  <conditionalFormatting sqref="K5:K1504">
    <cfRule type="cellIs" priority="1" operator="equal" dxfId="0">
      <formula>"Check category"</formula>
    </cfRule>
  </conditionalFormatting>
  <dataValidations count="5">
    <dataValidation sqref="D5:D1504" showDropDown="0" showInputMessage="0" showErrorMessage="1" allowBlank="1" errorTitle="Pick a category" error="Choose a category from the list (edit the list on the Setup sheet)." type="list">
      <formula1>=Setup!$A$24:$A$59</formula1>
    </dataValidation>
    <dataValidation sqref="G5:G1504" showDropDown="0" showInputMessage="0" showErrorMessage="0" allowBlank="1" type="list">
      <formula1>=Setup!$A$14:$A$19</formula1>
    </dataValidation>
    <dataValidation sqref="H5:H1504" showDropDown="0" showInputMessage="0" showErrorMessage="0" allowBlank="1" type="list">
      <formula1>"Bank transfer,Cash,Card,Cheque,Online payment,Mobile wallet"</formula1>
    </dataValidation>
    <dataValidation sqref="J5:J1504" showDropDown="0" showInputMessage="0" showErrorMessage="0" allowBlank="1" type="list">
      <formula1>"Yes,No"</formula1>
    </dataValidation>
    <dataValidation sqref="E5:F1504" showDropDown="0" showInputMessage="0" showErrorMessage="1" allowBlank="1" error="Enter a positive amount. Use Money OUT for payments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M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13" customWidth="1" min="4" max="4"/>
    <col width="10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2" customWidth="1" min="11" max="11"/>
    <col width="12" customWidth="1" min="12" max="12"/>
    <col width="30" customWidth="1" min="13" max="13"/>
  </cols>
  <sheetData>
    <row r="1">
      <c r="A1" s="11" t="inlineStr">
        <is>
          <t>Invoices: who owes us money?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Add every invoice you send. When it is paid, fill Amount paid + Paid date, AND record the payment on Transactions.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5" t="inlineStr">
        <is>
          <t>Total outstanding:</t>
        </is>
      </c>
      <c r="B3" s="1" t="n"/>
      <c r="C3" s="19">
        <f>SUM(I5:I404)</f>
        <v/>
      </c>
      <c r="D3" s="5" t="inlineStr">
        <is>
          <t>Overdue:</t>
        </is>
      </c>
      <c r="E3" s="1" t="n"/>
      <c r="F3" s="19">
        <f>SUMIFS(I5:I404,K5:K404,"Overdue")</f>
        <v/>
      </c>
      <c r="G3" s="1" t="n"/>
      <c r="H3" s="1" t="n"/>
      <c r="I3" s="1" t="n"/>
      <c r="J3" s="1" t="n"/>
      <c r="K3" s="1" t="n"/>
      <c r="L3" s="1" t="n"/>
      <c r="M3" s="1" t="n"/>
    </row>
    <row r="4" ht="30" customHeight="1">
      <c r="A4" s="18" t="inlineStr">
        <is>
          <t>Invoice no.</t>
        </is>
      </c>
      <c r="B4" s="18" t="inlineStr">
        <is>
          <t>Client</t>
        </is>
      </c>
      <c r="C4" s="18" t="inlineStr">
        <is>
          <t>Service</t>
        </is>
      </c>
      <c r="D4" s="18" t="inlineStr">
        <is>
          <t>Issue date</t>
        </is>
      </c>
      <c r="E4" s="18" t="inlineStr">
        <is>
          <t>Terms (days)</t>
        </is>
      </c>
      <c r="F4" s="18" t="inlineStr">
        <is>
          <t>Due date (auto)</t>
        </is>
      </c>
      <c r="G4" s="18" t="inlineStr">
        <is>
          <t>Amount (Rs)</t>
        </is>
      </c>
      <c r="H4" s="18" t="inlineStr">
        <is>
          <t>Amount paid (Rs)</t>
        </is>
      </c>
      <c r="I4" s="18" t="inlineStr">
        <is>
          <t>Balance due (auto)</t>
        </is>
      </c>
      <c r="J4" s="18" t="inlineStr">
        <is>
          <t>Paid date</t>
        </is>
      </c>
      <c r="K4" s="18" t="inlineStr">
        <is>
          <t>Status (auto)</t>
        </is>
      </c>
      <c r="L4" s="18" t="inlineStr">
        <is>
          <t>Days overdue (auto)</t>
        </is>
      </c>
      <c r="M4" s="18" t="inlineStr">
        <is>
          <t>Notes / follow-up</t>
        </is>
      </c>
    </row>
    <row r="5">
      <c r="A5" s="22" t="inlineStr">
        <is>
          <t>INV-001</t>
        </is>
      </c>
      <c r="B5" s="22" t="inlineStr">
        <is>
          <t>ABC Holdings (Pvt) Ltd</t>
        </is>
      </c>
      <c r="C5" s="22" t="inlineStr">
        <is>
          <t>Website project</t>
        </is>
      </c>
      <c r="D5" s="21" t="n">
        <v>46113</v>
      </c>
      <c r="E5" s="30" t="n">
        <v>14</v>
      </c>
      <c r="F5" s="31">
        <f>IF(D5="","",D5+IF(E5="",Setup!$B$10,E5))</f>
        <v/>
      </c>
      <c r="G5" s="23" t="n">
        <v>300000</v>
      </c>
      <c r="H5" s="23" t="n">
        <v>150000</v>
      </c>
      <c r="I5" s="32">
        <f>IF(G5="","",G5-N(H5))</f>
        <v/>
      </c>
      <c r="J5" s="21" t="n"/>
      <c r="K5" s="24">
        <f>IF(G5="","",IF(I5&lt;=0,"Paid",IF(TODAY()&gt;F5,"Overdue","Open")))</f>
        <v/>
      </c>
      <c r="L5" s="33">
        <f>IF(K5="Overdue",TODAY()-F5,"")</f>
        <v/>
      </c>
      <c r="M5" s="22" t="inlineStr">
        <is>
          <t>Example row: replace or delete</t>
        </is>
      </c>
    </row>
    <row r="6">
      <c r="A6" s="28" t="n"/>
      <c r="B6" s="28" t="n"/>
      <c r="C6" s="28" t="n"/>
      <c r="D6" s="27" t="n"/>
      <c r="E6" s="34" t="n"/>
      <c r="F6" s="35">
        <f>IF(D6="","",D6+IF(E6="",Setup!$B$10,E6))</f>
        <v/>
      </c>
      <c r="G6" s="29" t="n"/>
      <c r="H6" s="29" t="n"/>
      <c r="I6" s="26">
        <f>IF(G6="","",G6-N(H6))</f>
        <v/>
      </c>
      <c r="J6" s="27" t="n"/>
      <c r="K6" s="24">
        <f>IF(G6="","",IF(I6&lt;=0,"Paid",IF(TODAY()&gt;F6,"Overdue","Open")))</f>
        <v/>
      </c>
      <c r="L6" s="33">
        <f>IF(K6="Overdue",TODAY()-F6,"")</f>
        <v/>
      </c>
      <c r="M6" s="28" t="n"/>
    </row>
    <row r="7">
      <c r="A7" s="28" t="n"/>
      <c r="B7" s="28" t="n"/>
      <c r="C7" s="28" t="n"/>
      <c r="D7" s="27" t="n"/>
      <c r="E7" s="34" t="n"/>
      <c r="F7" s="35">
        <f>IF(D7="","",D7+IF(E7="",Setup!$B$10,E7))</f>
        <v/>
      </c>
      <c r="G7" s="29" t="n"/>
      <c r="H7" s="29" t="n"/>
      <c r="I7" s="26">
        <f>IF(G7="","",G7-N(H7))</f>
        <v/>
      </c>
      <c r="J7" s="27" t="n"/>
      <c r="K7" s="24">
        <f>IF(G7="","",IF(I7&lt;=0,"Paid",IF(TODAY()&gt;F7,"Overdue","Open")))</f>
        <v/>
      </c>
      <c r="L7" s="33">
        <f>IF(K7="Overdue",TODAY()-F7,"")</f>
        <v/>
      </c>
      <c r="M7" s="28" t="n"/>
    </row>
    <row r="8">
      <c r="A8" s="28" t="n"/>
      <c r="B8" s="28" t="n"/>
      <c r="C8" s="28" t="n"/>
      <c r="D8" s="27" t="n"/>
      <c r="E8" s="34" t="n"/>
      <c r="F8" s="35">
        <f>IF(D8="","",D8+IF(E8="",Setup!$B$10,E8))</f>
        <v/>
      </c>
      <c r="G8" s="29" t="n"/>
      <c r="H8" s="29" t="n"/>
      <c r="I8" s="26">
        <f>IF(G8="","",G8-N(H8))</f>
        <v/>
      </c>
      <c r="J8" s="27" t="n"/>
      <c r="K8" s="24">
        <f>IF(G8="","",IF(I8&lt;=0,"Paid",IF(TODAY()&gt;F8,"Overdue","Open")))</f>
        <v/>
      </c>
      <c r="L8" s="33">
        <f>IF(K8="Overdue",TODAY()-F8,"")</f>
        <v/>
      </c>
      <c r="M8" s="28" t="n"/>
    </row>
    <row r="9">
      <c r="A9" s="28" t="n"/>
      <c r="B9" s="28" t="n"/>
      <c r="C9" s="28" t="n"/>
      <c r="D9" s="27" t="n"/>
      <c r="E9" s="34" t="n"/>
      <c r="F9" s="35">
        <f>IF(D9="","",D9+IF(E9="",Setup!$B$10,E9))</f>
        <v/>
      </c>
      <c r="G9" s="29" t="n"/>
      <c r="H9" s="29" t="n"/>
      <c r="I9" s="26">
        <f>IF(G9="","",G9-N(H9))</f>
        <v/>
      </c>
      <c r="J9" s="27" t="n"/>
      <c r="K9" s="24">
        <f>IF(G9="","",IF(I9&lt;=0,"Paid",IF(TODAY()&gt;F9,"Overdue","Open")))</f>
        <v/>
      </c>
      <c r="L9" s="33">
        <f>IF(K9="Overdue",TODAY()-F9,"")</f>
        <v/>
      </c>
      <c r="M9" s="28" t="n"/>
    </row>
    <row r="10">
      <c r="A10" s="28" t="n"/>
      <c r="B10" s="28" t="n"/>
      <c r="C10" s="28" t="n"/>
      <c r="D10" s="27" t="n"/>
      <c r="E10" s="34" t="n"/>
      <c r="F10" s="35">
        <f>IF(D10="","",D10+IF(E10="",Setup!$B$10,E10))</f>
        <v/>
      </c>
      <c r="G10" s="29" t="n"/>
      <c r="H10" s="29" t="n"/>
      <c r="I10" s="26">
        <f>IF(G10="","",G10-N(H10))</f>
        <v/>
      </c>
      <c r="J10" s="27" t="n"/>
      <c r="K10" s="24">
        <f>IF(G10="","",IF(I10&lt;=0,"Paid",IF(TODAY()&gt;F10,"Overdue","Open")))</f>
        <v/>
      </c>
      <c r="L10" s="33">
        <f>IF(K10="Overdue",TODAY()-F10,"")</f>
        <v/>
      </c>
      <c r="M10" s="28" t="n"/>
    </row>
    <row r="11">
      <c r="A11" s="28" t="n"/>
      <c r="B11" s="28" t="n"/>
      <c r="C11" s="28" t="n"/>
      <c r="D11" s="27" t="n"/>
      <c r="E11" s="34" t="n"/>
      <c r="F11" s="35">
        <f>IF(D11="","",D11+IF(E11="",Setup!$B$10,E11))</f>
        <v/>
      </c>
      <c r="G11" s="29" t="n"/>
      <c r="H11" s="29" t="n"/>
      <c r="I11" s="26">
        <f>IF(G11="","",G11-N(H11))</f>
        <v/>
      </c>
      <c r="J11" s="27" t="n"/>
      <c r="K11" s="24">
        <f>IF(G11="","",IF(I11&lt;=0,"Paid",IF(TODAY()&gt;F11,"Overdue","Open")))</f>
        <v/>
      </c>
      <c r="L11" s="33">
        <f>IF(K11="Overdue",TODAY()-F11,"")</f>
        <v/>
      </c>
      <c r="M11" s="28" t="n"/>
    </row>
    <row r="12">
      <c r="A12" s="28" t="n"/>
      <c r="B12" s="28" t="n"/>
      <c r="C12" s="28" t="n"/>
      <c r="D12" s="27" t="n"/>
      <c r="E12" s="34" t="n"/>
      <c r="F12" s="35">
        <f>IF(D12="","",D12+IF(E12="",Setup!$B$10,E12))</f>
        <v/>
      </c>
      <c r="G12" s="29" t="n"/>
      <c r="H12" s="29" t="n"/>
      <c r="I12" s="26">
        <f>IF(G12="","",G12-N(H12))</f>
        <v/>
      </c>
      <c r="J12" s="27" t="n"/>
      <c r="K12" s="24">
        <f>IF(G12="","",IF(I12&lt;=0,"Paid",IF(TODAY()&gt;F12,"Overdue","Open")))</f>
        <v/>
      </c>
      <c r="L12" s="33">
        <f>IF(K12="Overdue",TODAY()-F12,"")</f>
        <v/>
      </c>
      <c r="M12" s="28" t="n"/>
    </row>
    <row r="13">
      <c r="A13" s="28" t="n"/>
      <c r="B13" s="28" t="n"/>
      <c r="C13" s="28" t="n"/>
      <c r="D13" s="27" t="n"/>
      <c r="E13" s="34" t="n"/>
      <c r="F13" s="35">
        <f>IF(D13="","",D13+IF(E13="",Setup!$B$10,E13))</f>
        <v/>
      </c>
      <c r="G13" s="29" t="n"/>
      <c r="H13" s="29" t="n"/>
      <c r="I13" s="26">
        <f>IF(G13="","",G13-N(H13))</f>
        <v/>
      </c>
      <c r="J13" s="27" t="n"/>
      <c r="K13" s="24">
        <f>IF(G13="","",IF(I13&lt;=0,"Paid",IF(TODAY()&gt;F13,"Overdue","Open")))</f>
        <v/>
      </c>
      <c r="L13" s="33">
        <f>IF(K13="Overdue",TODAY()-F13,"")</f>
        <v/>
      </c>
      <c r="M13" s="28" t="n"/>
    </row>
    <row r="14">
      <c r="A14" s="28" t="n"/>
      <c r="B14" s="28" t="n"/>
      <c r="C14" s="28" t="n"/>
      <c r="D14" s="27" t="n"/>
      <c r="E14" s="34" t="n"/>
      <c r="F14" s="35">
        <f>IF(D14="","",D14+IF(E14="",Setup!$B$10,E14))</f>
        <v/>
      </c>
      <c r="G14" s="29" t="n"/>
      <c r="H14" s="29" t="n"/>
      <c r="I14" s="26">
        <f>IF(G14="","",G14-N(H14))</f>
        <v/>
      </c>
      <c r="J14" s="27" t="n"/>
      <c r="K14" s="24">
        <f>IF(G14="","",IF(I14&lt;=0,"Paid",IF(TODAY()&gt;F14,"Overdue","Open")))</f>
        <v/>
      </c>
      <c r="L14" s="33">
        <f>IF(K14="Overdue",TODAY()-F14,"")</f>
        <v/>
      </c>
      <c r="M14" s="28" t="n"/>
    </row>
    <row r="15">
      <c r="A15" s="28" t="n"/>
      <c r="B15" s="28" t="n"/>
      <c r="C15" s="28" t="n"/>
      <c r="D15" s="27" t="n"/>
      <c r="E15" s="34" t="n"/>
      <c r="F15" s="35">
        <f>IF(D15="","",D15+IF(E15="",Setup!$B$10,E15))</f>
        <v/>
      </c>
      <c r="G15" s="29" t="n"/>
      <c r="H15" s="29" t="n"/>
      <c r="I15" s="26">
        <f>IF(G15="","",G15-N(H15))</f>
        <v/>
      </c>
      <c r="J15" s="27" t="n"/>
      <c r="K15" s="24">
        <f>IF(G15="","",IF(I15&lt;=0,"Paid",IF(TODAY()&gt;F15,"Overdue","Open")))</f>
        <v/>
      </c>
      <c r="L15" s="33">
        <f>IF(K15="Overdue",TODAY()-F15,"")</f>
        <v/>
      </c>
      <c r="M15" s="28" t="n"/>
    </row>
    <row r="16">
      <c r="A16" s="28" t="n"/>
      <c r="B16" s="28" t="n"/>
      <c r="C16" s="28" t="n"/>
      <c r="D16" s="27" t="n"/>
      <c r="E16" s="34" t="n"/>
      <c r="F16" s="35">
        <f>IF(D16="","",D16+IF(E16="",Setup!$B$10,E16))</f>
        <v/>
      </c>
      <c r="G16" s="29" t="n"/>
      <c r="H16" s="29" t="n"/>
      <c r="I16" s="26">
        <f>IF(G16="","",G16-N(H16))</f>
        <v/>
      </c>
      <c r="J16" s="27" t="n"/>
      <c r="K16" s="24">
        <f>IF(G16="","",IF(I16&lt;=0,"Paid",IF(TODAY()&gt;F16,"Overdue","Open")))</f>
        <v/>
      </c>
      <c r="L16" s="33">
        <f>IF(K16="Overdue",TODAY()-F16,"")</f>
        <v/>
      </c>
      <c r="M16" s="28" t="n"/>
    </row>
    <row r="17">
      <c r="A17" s="28" t="n"/>
      <c r="B17" s="28" t="n"/>
      <c r="C17" s="28" t="n"/>
      <c r="D17" s="27" t="n"/>
      <c r="E17" s="34" t="n"/>
      <c r="F17" s="35">
        <f>IF(D17="","",D17+IF(E17="",Setup!$B$10,E17))</f>
        <v/>
      </c>
      <c r="G17" s="29" t="n"/>
      <c r="H17" s="29" t="n"/>
      <c r="I17" s="26">
        <f>IF(G17="","",G17-N(H17))</f>
        <v/>
      </c>
      <c r="J17" s="27" t="n"/>
      <c r="K17" s="24">
        <f>IF(G17="","",IF(I17&lt;=0,"Paid",IF(TODAY()&gt;F17,"Overdue","Open")))</f>
        <v/>
      </c>
      <c r="L17" s="33">
        <f>IF(K17="Overdue",TODAY()-F17,"")</f>
        <v/>
      </c>
      <c r="M17" s="28" t="n"/>
    </row>
    <row r="18">
      <c r="A18" s="28" t="n"/>
      <c r="B18" s="28" t="n"/>
      <c r="C18" s="28" t="n"/>
      <c r="D18" s="27" t="n"/>
      <c r="E18" s="34" t="n"/>
      <c r="F18" s="35">
        <f>IF(D18="","",D18+IF(E18="",Setup!$B$10,E18))</f>
        <v/>
      </c>
      <c r="G18" s="29" t="n"/>
      <c r="H18" s="29" t="n"/>
      <c r="I18" s="26">
        <f>IF(G18="","",G18-N(H18))</f>
        <v/>
      </c>
      <c r="J18" s="27" t="n"/>
      <c r="K18" s="24">
        <f>IF(G18="","",IF(I18&lt;=0,"Paid",IF(TODAY()&gt;F18,"Overdue","Open")))</f>
        <v/>
      </c>
      <c r="L18" s="33">
        <f>IF(K18="Overdue",TODAY()-F18,"")</f>
        <v/>
      </c>
      <c r="M18" s="28" t="n"/>
    </row>
    <row r="19">
      <c r="A19" s="28" t="n"/>
      <c r="B19" s="28" t="n"/>
      <c r="C19" s="28" t="n"/>
      <c r="D19" s="27" t="n"/>
      <c r="E19" s="34" t="n"/>
      <c r="F19" s="35">
        <f>IF(D19="","",D19+IF(E19="",Setup!$B$10,E19))</f>
        <v/>
      </c>
      <c r="G19" s="29" t="n"/>
      <c r="H19" s="29" t="n"/>
      <c r="I19" s="26">
        <f>IF(G19="","",G19-N(H19))</f>
        <v/>
      </c>
      <c r="J19" s="27" t="n"/>
      <c r="K19" s="24">
        <f>IF(G19="","",IF(I19&lt;=0,"Paid",IF(TODAY()&gt;F19,"Overdue","Open")))</f>
        <v/>
      </c>
      <c r="L19" s="33">
        <f>IF(K19="Overdue",TODAY()-F19,"")</f>
        <v/>
      </c>
      <c r="M19" s="28" t="n"/>
    </row>
    <row r="20">
      <c r="A20" s="28" t="n"/>
      <c r="B20" s="28" t="n"/>
      <c r="C20" s="28" t="n"/>
      <c r="D20" s="27" t="n"/>
      <c r="E20" s="34" t="n"/>
      <c r="F20" s="35">
        <f>IF(D20="","",D20+IF(E20="",Setup!$B$10,E20))</f>
        <v/>
      </c>
      <c r="G20" s="29" t="n"/>
      <c r="H20" s="29" t="n"/>
      <c r="I20" s="26">
        <f>IF(G20="","",G20-N(H20))</f>
        <v/>
      </c>
      <c r="J20" s="27" t="n"/>
      <c r="K20" s="24">
        <f>IF(G20="","",IF(I20&lt;=0,"Paid",IF(TODAY()&gt;F20,"Overdue","Open")))</f>
        <v/>
      </c>
      <c r="L20" s="33">
        <f>IF(K20="Overdue",TODAY()-F20,"")</f>
        <v/>
      </c>
      <c r="M20" s="28" t="n"/>
    </row>
    <row r="21">
      <c r="A21" s="28" t="n"/>
      <c r="B21" s="28" t="n"/>
      <c r="C21" s="28" t="n"/>
      <c r="D21" s="27" t="n"/>
      <c r="E21" s="34" t="n"/>
      <c r="F21" s="35">
        <f>IF(D21="","",D21+IF(E21="",Setup!$B$10,E21))</f>
        <v/>
      </c>
      <c r="G21" s="29" t="n"/>
      <c r="H21" s="29" t="n"/>
      <c r="I21" s="26">
        <f>IF(G21="","",G21-N(H21))</f>
        <v/>
      </c>
      <c r="J21" s="27" t="n"/>
      <c r="K21" s="24">
        <f>IF(G21="","",IF(I21&lt;=0,"Paid",IF(TODAY()&gt;F21,"Overdue","Open")))</f>
        <v/>
      </c>
      <c r="L21" s="33">
        <f>IF(K21="Overdue",TODAY()-F21,"")</f>
        <v/>
      </c>
      <c r="M21" s="28" t="n"/>
    </row>
    <row r="22">
      <c r="A22" s="28" t="n"/>
      <c r="B22" s="28" t="n"/>
      <c r="C22" s="28" t="n"/>
      <c r="D22" s="27" t="n"/>
      <c r="E22" s="34" t="n"/>
      <c r="F22" s="35">
        <f>IF(D22="","",D22+IF(E22="",Setup!$B$10,E22))</f>
        <v/>
      </c>
      <c r="G22" s="29" t="n"/>
      <c r="H22" s="29" t="n"/>
      <c r="I22" s="26">
        <f>IF(G22="","",G22-N(H22))</f>
        <v/>
      </c>
      <c r="J22" s="27" t="n"/>
      <c r="K22" s="24">
        <f>IF(G22="","",IF(I22&lt;=0,"Paid",IF(TODAY()&gt;F22,"Overdue","Open")))</f>
        <v/>
      </c>
      <c r="L22" s="33">
        <f>IF(K22="Overdue",TODAY()-F22,"")</f>
        <v/>
      </c>
      <c r="M22" s="28" t="n"/>
    </row>
    <row r="23">
      <c r="A23" s="28" t="n"/>
      <c r="B23" s="28" t="n"/>
      <c r="C23" s="28" t="n"/>
      <c r="D23" s="27" t="n"/>
      <c r="E23" s="34" t="n"/>
      <c r="F23" s="35">
        <f>IF(D23="","",D23+IF(E23="",Setup!$B$10,E23))</f>
        <v/>
      </c>
      <c r="G23" s="29" t="n"/>
      <c r="H23" s="29" t="n"/>
      <c r="I23" s="26">
        <f>IF(G23="","",G23-N(H23))</f>
        <v/>
      </c>
      <c r="J23" s="27" t="n"/>
      <c r="K23" s="24">
        <f>IF(G23="","",IF(I23&lt;=0,"Paid",IF(TODAY()&gt;F23,"Overdue","Open")))</f>
        <v/>
      </c>
      <c r="L23" s="33">
        <f>IF(K23="Overdue",TODAY()-F23,"")</f>
        <v/>
      </c>
      <c r="M23" s="28" t="n"/>
    </row>
    <row r="24">
      <c r="A24" s="28" t="n"/>
      <c r="B24" s="28" t="n"/>
      <c r="C24" s="28" t="n"/>
      <c r="D24" s="27" t="n"/>
      <c r="E24" s="34" t="n"/>
      <c r="F24" s="35">
        <f>IF(D24="","",D24+IF(E24="",Setup!$B$10,E24))</f>
        <v/>
      </c>
      <c r="G24" s="29" t="n"/>
      <c r="H24" s="29" t="n"/>
      <c r="I24" s="26">
        <f>IF(G24="","",G24-N(H24))</f>
        <v/>
      </c>
      <c r="J24" s="27" t="n"/>
      <c r="K24" s="24">
        <f>IF(G24="","",IF(I24&lt;=0,"Paid",IF(TODAY()&gt;F24,"Overdue","Open")))</f>
        <v/>
      </c>
      <c r="L24" s="33">
        <f>IF(K24="Overdue",TODAY()-F24,"")</f>
        <v/>
      </c>
      <c r="M24" s="28" t="n"/>
    </row>
    <row r="25">
      <c r="A25" s="28" t="n"/>
      <c r="B25" s="28" t="n"/>
      <c r="C25" s="28" t="n"/>
      <c r="D25" s="27" t="n"/>
      <c r="E25" s="34" t="n"/>
      <c r="F25" s="35">
        <f>IF(D25="","",D25+IF(E25="",Setup!$B$10,E25))</f>
        <v/>
      </c>
      <c r="G25" s="29" t="n"/>
      <c r="H25" s="29" t="n"/>
      <c r="I25" s="26">
        <f>IF(G25="","",G25-N(H25))</f>
        <v/>
      </c>
      <c r="J25" s="27" t="n"/>
      <c r="K25" s="24">
        <f>IF(G25="","",IF(I25&lt;=0,"Paid",IF(TODAY()&gt;F25,"Overdue","Open")))</f>
        <v/>
      </c>
      <c r="L25" s="33">
        <f>IF(K25="Overdue",TODAY()-F25,"")</f>
        <v/>
      </c>
      <c r="M25" s="28" t="n"/>
    </row>
    <row r="26">
      <c r="A26" s="28" t="n"/>
      <c r="B26" s="28" t="n"/>
      <c r="C26" s="28" t="n"/>
      <c r="D26" s="27" t="n"/>
      <c r="E26" s="34" t="n"/>
      <c r="F26" s="35">
        <f>IF(D26="","",D26+IF(E26="",Setup!$B$10,E26))</f>
        <v/>
      </c>
      <c r="G26" s="29" t="n"/>
      <c r="H26" s="29" t="n"/>
      <c r="I26" s="26">
        <f>IF(G26="","",G26-N(H26))</f>
        <v/>
      </c>
      <c r="J26" s="27" t="n"/>
      <c r="K26" s="24">
        <f>IF(G26="","",IF(I26&lt;=0,"Paid",IF(TODAY()&gt;F26,"Overdue","Open")))</f>
        <v/>
      </c>
      <c r="L26" s="33">
        <f>IF(K26="Overdue",TODAY()-F26,"")</f>
        <v/>
      </c>
      <c r="M26" s="28" t="n"/>
    </row>
    <row r="27">
      <c r="A27" s="28" t="n"/>
      <c r="B27" s="28" t="n"/>
      <c r="C27" s="28" t="n"/>
      <c r="D27" s="27" t="n"/>
      <c r="E27" s="34" t="n"/>
      <c r="F27" s="35">
        <f>IF(D27="","",D27+IF(E27="",Setup!$B$10,E27))</f>
        <v/>
      </c>
      <c r="G27" s="29" t="n"/>
      <c r="H27" s="29" t="n"/>
      <c r="I27" s="26">
        <f>IF(G27="","",G27-N(H27))</f>
        <v/>
      </c>
      <c r="J27" s="27" t="n"/>
      <c r="K27" s="24">
        <f>IF(G27="","",IF(I27&lt;=0,"Paid",IF(TODAY()&gt;F27,"Overdue","Open")))</f>
        <v/>
      </c>
      <c r="L27" s="33">
        <f>IF(K27="Overdue",TODAY()-F27,"")</f>
        <v/>
      </c>
      <c r="M27" s="28" t="n"/>
    </row>
    <row r="28">
      <c r="A28" s="28" t="n"/>
      <c r="B28" s="28" t="n"/>
      <c r="C28" s="28" t="n"/>
      <c r="D28" s="27" t="n"/>
      <c r="E28" s="34" t="n"/>
      <c r="F28" s="35">
        <f>IF(D28="","",D28+IF(E28="",Setup!$B$10,E28))</f>
        <v/>
      </c>
      <c r="G28" s="29" t="n"/>
      <c r="H28" s="29" t="n"/>
      <c r="I28" s="26">
        <f>IF(G28="","",G28-N(H28))</f>
        <v/>
      </c>
      <c r="J28" s="27" t="n"/>
      <c r="K28" s="24">
        <f>IF(G28="","",IF(I28&lt;=0,"Paid",IF(TODAY()&gt;F28,"Overdue","Open")))</f>
        <v/>
      </c>
      <c r="L28" s="33">
        <f>IF(K28="Overdue",TODAY()-F28,"")</f>
        <v/>
      </c>
      <c r="M28" s="28" t="n"/>
    </row>
    <row r="29">
      <c r="A29" s="28" t="n"/>
      <c r="B29" s="28" t="n"/>
      <c r="C29" s="28" t="n"/>
      <c r="D29" s="27" t="n"/>
      <c r="E29" s="34" t="n"/>
      <c r="F29" s="35">
        <f>IF(D29="","",D29+IF(E29="",Setup!$B$10,E29))</f>
        <v/>
      </c>
      <c r="G29" s="29" t="n"/>
      <c r="H29" s="29" t="n"/>
      <c r="I29" s="26">
        <f>IF(G29="","",G29-N(H29))</f>
        <v/>
      </c>
      <c r="J29" s="27" t="n"/>
      <c r="K29" s="24">
        <f>IF(G29="","",IF(I29&lt;=0,"Paid",IF(TODAY()&gt;F29,"Overdue","Open")))</f>
        <v/>
      </c>
      <c r="L29" s="33">
        <f>IF(K29="Overdue",TODAY()-F29,"")</f>
        <v/>
      </c>
      <c r="M29" s="28" t="n"/>
    </row>
    <row r="30">
      <c r="A30" s="28" t="n"/>
      <c r="B30" s="28" t="n"/>
      <c r="C30" s="28" t="n"/>
      <c r="D30" s="27" t="n"/>
      <c r="E30" s="34" t="n"/>
      <c r="F30" s="35">
        <f>IF(D30="","",D30+IF(E30="",Setup!$B$10,E30))</f>
        <v/>
      </c>
      <c r="G30" s="29" t="n"/>
      <c r="H30" s="29" t="n"/>
      <c r="I30" s="26">
        <f>IF(G30="","",G30-N(H30))</f>
        <v/>
      </c>
      <c r="J30" s="27" t="n"/>
      <c r="K30" s="24">
        <f>IF(G30="","",IF(I30&lt;=0,"Paid",IF(TODAY()&gt;F30,"Overdue","Open")))</f>
        <v/>
      </c>
      <c r="L30" s="33">
        <f>IF(K30="Overdue",TODAY()-F30,"")</f>
        <v/>
      </c>
      <c r="M30" s="28" t="n"/>
    </row>
    <row r="31">
      <c r="A31" s="28" t="n"/>
      <c r="B31" s="28" t="n"/>
      <c r="C31" s="28" t="n"/>
      <c r="D31" s="27" t="n"/>
      <c r="E31" s="34" t="n"/>
      <c r="F31" s="35">
        <f>IF(D31="","",D31+IF(E31="",Setup!$B$10,E31))</f>
        <v/>
      </c>
      <c r="G31" s="29" t="n"/>
      <c r="H31" s="29" t="n"/>
      <c r="I31" s="26">
        <f>IF(G31="","",G31-N(H31))</f>
        <v/>
      </c>
      <c r="J31" s="27" t="n"/>
      <c r="K31" s="24">
        <f>IF(G31="","",IF(I31&lt;=0,"Paid",IF(TODAY()&gt;F31,"Overdue","Open")))</f>
        <v/>
      </c>
      <c r="L31" s="33">
        <f>IF(K31="Overdue",TODAY()-F31,"")</f>
        <v/>
      </c>
      <c r="M31" s="28" t="n"/>
    </row>
    <row r="32">
      <c r="A32" s="28" t="n"/>
      <c r="B32" s="28" t="n"/>
      <c r="C32" s="28" t="n"/>
      <c r="D32" s="27" t="n"/>
      <c r="E32" s="34" t="n"/>
      <c r="F32" s="35">
        <f>IF(D32="","",D32+IF(E32="",Setup!$B$10,E32))</f>
        <v/>
      </c>
      <c r="G32" s="29" t="n"/>
      <c r="H32" s="29" t="n"/>
      <c r="I32" s="26">
        <f>IF(G32="","",G32-N(H32))</f>
        <v/>
      </c>
      <c r="J32" s="27" t="n"/>
      <c r="K32" s="24">
        <f>IF(G32="","",IF(I32&lt;=0,"Paid",IF(TODAY()&gt;F32,"Overdue","Open")))</f>
        <v/>
      </c>
      <c r="L32" s="33">
        <f>IF(K32="Overdue",TODAY()-F32,"")</f>
        <v/>
      </c>
      <c r="M32" s="28" t="n"/>
    </row>
    <row r="33">
      <c r="A33" s="28" t="n"/>
      <c r="B33" s="28" t="n"/>
      <c r="C33" s="28" t="n"/>
      <c r="D33" s="27" t="n"/>
      <c r="E33" s="34" t="n"/>
      <c r="F33" s="35">
        <f>IF(D33="","",D33+IF(E33="",Setup!$B$10,E33))</f>
        <v/>
      </c>
      <c r="G33" s="29" t="n"/>
      <c r="H33" s="29" t="n"/>
      <c r="I33" s="26">
        <f>IF(G33="","",G33-N(H33))</f>
        <v/>
      </c>
      <c r="J33" s="27" t="n"/>
      <c r="K33" s="24">
        <f>IF(G33="","",IF(I33&lt;=0,"Paid",IF(TODAY()&gt;F33,"Overdue","Open")))</f>
        <v/>
      </c>
      <c r="L33" s="33">
        <f>IF(K33="Overdue",TODAY()-F33,"")</f>
        <v/>
      </c>
      <c r="M33" s="28" t="n"/>
    </row>
    <row r="34">
      <c r="A34" s="28" t="n"/>
      <c r="B34" s="28" t="n"/>
      <c r="C34" s="28" t="n"/>
      <c r="D34" s="27" t="n"/>
      <c r="E34" s="34" t="n"/>
      <c r="F34" s="35">
        <f>IF(D34="","",D34+IF(E34="",Setup!$B$10,E34))</f>
        <v/>
      </c>
      <c r="G34" s="29" t="n"/>
      <c r="H34" s="29" t="n"/>
      <c r="I34" s="26">
        <f>IF(G34="","",G34-N(H34))</f>
        <v/>
      </c>
      <c r="J34" s="27" t="n"/>
      <c r="K34" s="24">
        <f>IF(G34="","",IF(I34&lt;=0,"Paid",IF(TODAY()&gt;F34,"Overdue","Open")))</f>
        <v/>
      </c>
      <c r="L34" s="33">
        <f>IF(K34="Overdue",TODAY()-F34,"")</f>
        <v/>
      </c>
      <c r="M34" s="28" t="n"/>
    </row>
    <row r="35">
      <c r="A35" s="28" t="n"/>
      <c r="B35" s="28" t="n"/>
      <c r="C35" s="28" t="n"/>
      <c r="D35" s="27" t="n"/>
      <c r="E35" s="34" t="n"/>
      <c r="F35" s="35">
        <f>IF(D35="","",D35+IF(E35="",Setup!$B$10,E35))</f>
        <v/>
      </c>
      <c r="G35" s="29" t="n"/>
      <c r="H35" s="29" t="n"/>
      <c r="I35" s="26">
        <f>IF(G35="","",G35-N(H35))</f>
        <v/>
      </c>
      <c r="J35" s="27" t="n"/>
      <c r="K35" s="24">
        <f>IF(G35="","",IF(I35&lt;=0,"Paid",IF(TODAY()&gt;F35,"Overdue","Open")))</f>
        <v/>
      </c>
      <c r="L35" s="33">
        <f>IF(K35="Overdue",TODAY()-F35,"")</f>
        <v/>
      </c>
      <c r="M35" s="28" t="n"/>
    </row>
    <row r="36">
      <c r="A36" s="28" t="n"/>
      <c r="B36" s="28" t="n"/>
      <c r="C36" s="28" t="n"/>
      <c r="D36" s="27" t="n"/>
      <c r="E36" s="34" t="n"/>
      <c r="F36" s="35">
        <f>IF(D36="","",D36+IF(E36="",Setup!$B$10,E36))</f>
        <v/>
      </c>
      <c r="G36" s="29" t="n"/>
      <c r="H36" s="29" t="n"/>
      <c r="I36" s="26">
        <f>IF(G36="","",G36-N(H36))</f>
        <v/>
      </c>
      <c r="J36" s="27" t="n"/>
      <c r="K36" s="24">
        <f>IF(G36="","",IF(I36&lt;=0,"Paid",IF(TODAY()&gt;F36,"Overdue","Open")))</f>
        <v/>
      </c>
      <c r="L36" s="33">
        <f>IF(K36="Overdue",TODAY()-F36,"")</f>
        <v/>
      </c>
      <c r="M36" s="28" t="n"/>
    </row>
    <row r="37">
      <c r="A37" s="28" t="n"/>
      <c r="B37" s="28" t="n"/>
      <c r="C37" s="28" t="n"/>
      <c r="D37" s="27" t="n"/>
      <c r="E37" s="34" t="n"/>
      <c r="F37" s="35">
        <f>IF(D37="","",D37+IF(E37="",Setup!$B$10,E37))</f>
        <v/>
      </c>
      <c r="G37" s="29" t="n"/>
      <c r="H37" s="29" t="n"/>
      <c r="I37" s="26">
        <f>IF(G37="","",G37-N(H37))</f>
        <v/>
      </c>
      <c r="J37" s="27" t="n"/>
      <c r="K37" s="24">
        <f>IF(G37="","",IF(I37&lt;=0,"Paid",IF(TODAY()&gt;F37,"Overdue","Open")))</f>
        <v/>
      </c>
      <c r="L37" s="33">
        <f>IF(K37="Overdue",TODAY()-F37,"")</f>
        <v/>
      </c>
      <c r="M37" s="28" t="n"/>
    </row>
    <row r="38">
      <c r="A38" s="28" t="n"/>
      <c r="B38" s="28" t="n"/>
      <c r="C38" s="28" t="n"/>
      <c r="D38" s="27" t="n"/>
      <c r="E38" s="34" t="n"/>
      <c r="F38" s="35">
        <f>IF(D38="","",D38+IF(E38="",Setup!$B$10,E38))</f>
        <v/>
      </c>
      <c r="G38" s="29" t="n"/>
      <c r="H38" s="29" t="n"/>
      <c r="I38" s="26">
        <f>IF(G38="","",G38-N(H38))</f>
        <v/>
      </c>
      <c r="J38" s="27" t="n"/>
      <c r="K38" s="24">
        <f>IF(G38="","",IF(I38&lt;=0,"Paid",IF(TODAY()&gt;F38,"Overdue","Open")))</f>
        <v/>
      </c>
      <c r="L38" s="33">
        <f>IF(K38="Overdue",TODAY()-F38,"")</f>
        <v/>
      </c>
      <c r="M38" s="28" t="n"/>
    </row>
    <row r="39">
      <c r="A39" s="28" t="n"/>
      <c r="B39" s="28" t="n"/>
      <c r="C39" s="28" t="n"/>
      <c r="D39" s="27" t="n"/>
      <c r="E39" s="34" t="n"/>
      <c r="F39" s="35">
        <f>IF(D39="","",D39+IF(E39="",Setup!$B$10,E39))</f>
        <v/>
      </c>
      <c r="G39" s="29" t="n"/>
      <c r="H39" s="29" t="n"/>
      <c r="I39" s="26">
        <f>IF(G39="","",G39-N(H39))</f>
        <v/>
      </c>
      <c r="J39" s="27" t="n"/>
      <c r="K39" s="24">
        <f>IF(G39="","",IF(I39&lt;=0,"Paid",IF(TODAY()&gt;F39,"Overdue","Open")))</f>
        <v/>
      </c>
      <c r="L39" s="33">
        <f>IF(K39="Overdue",TODAY()-F39,"")</f>
        <v/>
      </c>
      <c r="M39" s="28" t="n"/>
    </row>
    <row r="40">
      <c r="A40" s="28" t="n"/>
      <c r="B40" s="28" t="n"/>
      <c r="C40" s="28" t="n"/>
      <c r="D40" s="27" t="n"/>
      <c r="E40" s="34" t="n"/>
      <c r="F40" s="35">
        <f>IF(D40="","",D40+IF(E40="",Setup!$B$10,E40))</f>
        <v/>
      </c>
      <c r="G40" s="29" t="n"/>
      <c r="H40" s="29" t="n"/>
      <c r="I40" s="26">
        <f>IF(G40="","",G40-N(H40))</f>
        <v/>
      </c>
      <c r="J40" s="27" t="n"/>
      <c r="K40" s="24">
        <f>IF(G40="","",IF(I40&lt;=0,"Paid",IF(TODAY()&gt;F40,"Overdue","Open")))</f>
        <v/>
      </c>
      <c r="L40" s="33">
        <f>IF(K40="Overdue",TODAY()-F40,"")</f>
        <v/>
      </c>
      <c r="M40" s="28" t="n"/>
    </row>
    <row r="41">
      <c r="A41" s="28" t="n"/>
      <c r="B41" s="28" t="n"/>
      <c r="C41" s="28" t="n"/>
      <c r="D41" s="27" t="n"/>
      <c r="E41" s="34" t="n"/>
      <c r="F41" s="35">
        <f>IF(D41="","",D41+IF(E41="",Setup!$B$10,E41))</f>
        <v/>
      </c>
      <c r="G41" s="29" t="n"/>
      <c r="H41" s="29" t="n"/>
      <c r="I41" s="26">
        <f>IF(G41="","",G41-N(H41))</f>
        <v/>
      </c>
      <c r="J41" s="27" t="n"/>
      <c r="K41" s="24">
        <f>IF(G41="","",IF(I41&lt;=0,"Paid",IF(TODAY()&gt;F41,"Overdue","Open")))</f>
        <v/>
      </c>
      <c r="L41" s="33">
        <f>IF(K41="Overdue",TODAY()-F41,"")</f>
        <v/>
      </c>
      <c r="M41" s="28" t="n"/>
    </row>
    <row r="42">
      <c r="A42" s="28" t="n"/>
      <c r="B42" s="28" t="n"/>
      <c r="C42" s="28" t="n"/>
      <c r="D42" s="27" t="n"/>
      <c r="E42" s="34" t="n"/>
      <c r="F42" s="35">
        <f>IF(D42="","",D42+IF(E42="",Setup!$B$10,E42))</f>
        <v/>
      </c>
      <c r="G42" s="29" t="n"/>
      <c r="H42" s="29" t="n"/>
      <c r="I42" s="26">
        <f>IF(G42="","",G42-N(H42))</f>
        <v/>
      </c>
      <c r="J42" s="27" t="n"/>
      <c r="K42" s="24">
        <f>IF(G42="","",IF(I42&lt;=0,"Paid",IF(TODAY()&gt;F42,"Overdue","Open")))</f>
        <v/>
      </c>
      <c r="L42" s="33">
        <f>IF(K42="Overdue",TODAY()-F42,"")</f>
        <v/>
      </c>
      <c r="M42" s="28" t="n"/>
    </row>
    <row r="43">
      <c r="A43" s="28" t="n"/>
      <c r="B43" s="28" t="n"/>
      <c r="C43" s="28" t="n"/>
      <c r="D43" s="27" t="n"/>
      <c r="E43" s="34" t="n"/>
      <c r="F43" s="35">
        <f>IF(D43="","",D43+IF(E43="",Setup!$B$10,E43))</f>
        <v/>
      </c>
      <c r="G43" s="29" t="n"/>
      <c r="H43" s="29" t="n"/>
      <c r="I43" s="26">
        <f>IF(G43="","",G43-N(H43))</f>
        <v/>
      </c>
      <c r="J43" s="27" t="n"/>
      <c r="K43" s="24">
        <f>IF(G43="","",IF(I43&lt;=0,"Paid",IF(TODAY()&gt;F43,"Overdue","Open")))</f>
        <v/>
      </c>
      <c r="L43" s="33">
        <f>IF(K43="Overdue",TODAY()-F43,"")</f>
        <v/>
      </c>
      <c r="M43" s="28" t="n"/>
    </row>
    <row r="44">
      <c r="A44" s="28" t="n"/>
      <c r="B44" s="28" t="n"/>
      <c r="C44" s="28" t="n"/>
      <c r="D44" s="27" t="n"/>
      <c r="E44" s="34" t="n"/>
      <c r="F44" s="35">
        <f>IF(D44="","",D44+IF(E44="",Setup!$B$10,E44))</f>
        <v/>
      </c>
      <c r="G44" s="29" t="n"/>
      <c r="H44" s="29" t="n"/>
      <c r="I44" s="26">
        <f>IF(G44="","",G44-N(H44))</f>
        <v/>
      </c>
      <c r="J44" s="27" t="n"/>
      <c r="K44" s="24">
        <f>IF(G44="","",IF(I44&lt;=0,"Paid",IF(TODAY()&gt;F44,"Overdue","Open")))</f>
        <v/>
      </c>
      <c r="L44" s="33">
        <f>IF(K44="Overdue",TODAY()-F44,"")</f>
        <v/>
      </c>
      <c r="M44" s="28" t="n"/>
    </row>
    <row r="45">
      <c r="A45" s="28" t="n"/>
      <c r="B45" s="28" t="n"/>
      <c r="C45" s="28" t="n"/>
      <c r="D45" s="27" t="n"/>
      <c r="E45" s="34" t="n"/>
      <c r="F45" s="35">
        <f>IF(D45="","",D45+IF(E45="",Setup!$B$10,E45))</f>
        <v/>
      </c>
      <c r="G45" s="29" t="n"/>
      <c r="H45" s="29" t="n"/>
      <c r="I45" s="26">
        <f>IF(G45="","",G45-N(H45))</f>
        <v/>
      </c>
      <c r="J45" s="27" t="n"/>
      <c r="K45" s="24">
        <f>IF(G45="","",IF(I45&lt;=0,"Paid",IF(TODAY()&gt;F45,"Overdue","Open")))</f>
        <v/>
      </c>
      <c r="L45" s="33">
        <f>IF(K45="Overdue",TODAY()-F45,"")</f>
        <v/>
      </c>
      <c r="M45" s="28" t="n"/>
    </row>
    <row r="46">
      <c r="A46" s="28" t="n"/>
      <c r="B46" s="28" t="n"/>
      <c r="C46" s="28" t="n"/>
      <c r="D46" s="27" t="n"/>
      <c r="E46" s="34" t="n"/>
      <c r="F46" s="35">
        <f>IF(D46="","",D46+IF(E46="",Setup!$B$10,E46))</f>
        <v/>
      </c>
      <c r="G46" s="29" t="n"/>
      <c r="H46" s="29" t="n"/>
      <c r="I46" s="26">
        <f>IF(G46="","",G46-N(H46))</f>
        <v/>
      </c>
      <c r="J46" s="27" t="n"/>
      <c r="K46" s="24">
        <f>IF(G46="","",IF(I46&lt;=0,"Paid",IF(TODAY()&gt;F46,"Overdue","Open")))</f>
        <v/>
      </c>
      <c r="L46" s="33">
        <f>IF(K46="Overdue",TODAY()-F46,"")</f>
        <v/>
      </c>
      <c r="M46" s="28" t="n"/>
    </row>
    <row r="47">
      <c r="A47" s="28" t="n"/>
      <c r="B47" s="28" t="n"/>
      <c r="C47" s="28" t="n"/>
      <c r="D47" s="27" t="n"/>
      <c r="E47" s="34" t="n"/>
      <c r="F47" s="35">
        <f>IF(D47="","",D47+IF(E47="",Setup!$B$10,E47))</f>
        <v/>
      </c>
      <c r="G47" s="29" t="n"/>
      <c r="H47" s="29" t="n"/>
      <c r="I47" s="26">
        <f>IF(G47="","",G47-N(H47))</f>
        <v/>
      </c>
      <c r="J47" s="27" t="n"/>
      <c r="K47" s="24">
        <f>IF(G47="","",IF(I47&lt;=0,"Paid",IF(TODAY()&gt;F47,"Overdue","Open")))</f>
        <v/>
      </c>
      <c r="L47" s="33">
        <f>IF(K47="Overdue",TODAY()-F47,"")</f>
        <v/>
      </c>
      <c r="M47" s="28" t="n"/>
    </row>
    <row r="48">
      <c r="A48" s="28" t="n"/>
      <c r="B48" s="28" t="n"/>
      <c r="C48" s="28" t="n"/>
      <c r="D48" s="27" t="n"/>
      <c r="E48" s="34" t="n"/>
      <c r="F48" s="35">
        <f>IF(D48="","",D48+IF(E48="",Setup!$B$10,E48))</f>
        <v/>
      </c>
      <c r="G48" s="29" t="n"/>
      <c r="H48" s="29" t="n"/>
      <c r="I48" s="26">
        <f>IF(G48="","",G48-N(H48))</f>
        <v/>
      </c>
      <c r="J48" s="27" t="n"/>
      <c r="K48" s="24">
        <f>IF(G48="","",IF(I48&lt;=0,"Paid",IF(TODAY()&gt;F48,"Overdue","Open")))</f>
        <v/>
      </c>
      <c r="L48" s="33">
        <f>IF(K48="Overdue",TODAY()-F48,"")</f>
        <v/>
      </c>
      <c r="M48" s="28" t="n"/>
    </row>
    <row r="49">
      <c r="A49" s="28" t="n"/>
      <c r="B49" s="28" t="n"/>
      <c r="C49" s="28" t="n"/>
      <c r="D49" s="27" t="n"/>
      <c r="E49" s="34" t="n"/>
      <c r="F49" s="35">
        <f>IF(D49="","",D49+IF(E49="",Setup!$B$10,E49))</f>
        <v/>
      </c>
      <c r="G49" s="29" t="n"/>
      <c r="H49" s="29" t="n"/>
      <c r="I49" s="26">
        <f>IF(G49="","",G49-N(H49))</f>
        <v/>
      </c>
      <c r="J49" s="27" t="n"/>
      <c r="K49" s="24">
        <f>IF(G49="","",IF(I49&lt;=0,"Paid",IF(TODAY()&gt;F49,"Overdue","Open")))</f>
        <v/>
      </c>
      <c r="L49" s="33">
        <f>IF(K49="Overdue",TODAY()-F49,"")</f>
        <v/>
      </c>
      <c r="M49" s="28" t="n"/>
    </row>
    <row r="50">
      <c r="A50" s="28" t="n"/>
      <c r="B50" s="28" t="n"/>
      <c r="C50" s="28" t="n"/>
      <c r="D50" s="27" t="n"/>
      <c r="E50" s="34" t="n"/>
      <c r="F50" s="35">
        <f>IF(D50="","",D50+IF(E50="",Setup!$B$10,E50))</f>
        <v/>
      </c>
      <c r="G50" s="29" t="n"/>
      <c r="H50" s="29" t="n"/>
      <c r="I50" s="26">
        <f>IF(G50="","",G50-N(H50))</f>
        <v/>
      </c>
      <c r="J50" s="27" t="n"/>
      <c r="K50" s="24">
        <f>IF(G50="","",IF(I50&lt;=0,"Paid",IF(TODAY()&gt;F50,"Overdue","Open")))</f>
        <v/>
      </c>
      <c r="L50" s="33">
        <f>IF(K50="Overdue",TODAY()-F50,"")</f>
        <v/>
      </c>
      <c r="M50" s="28" t="n"/>
    </row>
    <row r="51">
      <c r="A51" s="28" t="n"/>
      <c r="B51" s="28" t="n"/>
      <c r="C51" s="28" t="n"/>
      <c r="D51" s="27" t="n"/>
      <c r="E51" s="34" t="n"/>
      <c r="F51" s="35">
        <f>IF(D51="","",D51+IF(E51="",Setup!$B$10,E51))</f>
        <v/>
      </c>
      <c r="G51" s="29" t="n"/>
      <c r="H51" s="29" t="n"/>
      <c r="I51" s="26">
        <f>IF(G51="","",G51-N(H51))</f>
        <v/>
      </c>
      <c r="J51" s="27" t="n"/>
      <c r="K51" s="24">
        <f>IF(G51="","",IF(I51&lt;=0,"Paid",IF(TODAY()&gt;F51,"Overdue","Open")))</f>
        <v/>
      </c>
      <c r="L51" s="33">
        <f>IF(K51="Overdue",TODAY()-F51,"")</f>
        <v/>
      </c>
      <c r="M51" s="28" t="n"/>
    </row>
    <row r="52">
      <c r="A52" s="28" t="n"/>
      <c r="B52" s="28" t="n"/>
      <c r="C52" s="28" t="n"/>
      <c r="D52" s="27" t="n"/>
      <c r="E52" s="34" t="n"/>
      <c r="F52" s="35">
        <f>IF(D52="","",D52+IF(E52="",Setup!$B$10,E52))</f>
        <v/>
      </c>
      <c r="G52" s="29" t="n"/>
      <c r="H52" s="29" t="n"/>
      <c r="I52" s="26">
        <f>IF(G52="","",G52-N(H52))</f>
        <v/>
      </c>
      <c r="J52" s="27" t="n"/>
      <c r="K52" s="24">
        <f>IF(G52="","",IF(I52&lt;=0,"Paid",IF(TODAY()&gt;F52,"Overdue","Open")))</f>
        <v/>
      </c>
      <c r="L52" s="33">
        <f>IF(K52="Overdue",TODAY()-F52,"")</f>
        <v/>
      </c>
      <c r="M52" s="28" t="n"/>
    </row>
    <row r="53">
      <c r="A53" s="28" t="n"/>
      <c r="B53" s="28" t="n"/>
      <c r="C53" s="28" t="n"/>
      <c r="D53" s="27" t="n"/>
      <c r="E53" s="34" t="n"/>
      <c r="F53" s="35">
        <f>IF(D53="","",D53+IF(E53="",Setup!$B$10,E53))</f>
        <v/>
      </c>
      <c r="G53" s="29" t="n"/>
      <c r="H53" s="29" t="n"/>
      <c r="I53" s="26">
        <f>IF(G53="","",G53-N(H53))</f>
        <v/>
      </c>
      <c r="J53" s="27" t="n"/>
      <c r="K53" s="24">
        <f>IF(G53="","",IF(I53&lt;=0,"Paid",IF(TODAY()&gt;F53,"Overdue","Open")))</f>
        <v/>
      </c>
      <c r="L53" s="33">
        <f>IF(K53="Overdue",TODAY()-F53,"")</f>
        <v/>
      </c>
      <c r="M53" s="28" t="n"/>
    </row>
    <row r="54">
      <c r="A54" s="28" t="n"/>
      <c r="B54" s="28" t="n"/>
      <c r="C54" s="28" t="n"/>
      <c r="D54" s="27" t="n"/>
      <c r="E54" s="34" t="n"/>
      <c r="F54" s="35">
        <f>IF(D54="","",D54+IF(E54="",Setup!$B$10,E54))</f>
        <v/>
      </c>
      <c r="G54" s="29" t="n"/>
      <c r="H54" s="29" t="n"/>
      <c r="I54" s="26">
        <f>IF(G54="","",G54-N(H54))</f>
        <v/>
      </c>
      <c r="J54" s="27" t="n"/>
      <c r="K54" s="24">
        <f>IF(G54="","",IF(I54&lt;=0,"Paid",IF(TODAY()&gt;F54,"Overdue","Open")))</f>
        <v/>
      </c>
      <c r="L54" s="33">
        <f>IF(K54="Overdue",TODAY()-F54,"")</f>
        <v/>
      </c>
      <c r="M54" s="28" t="n"/>
    </row>
    <row r="55">
      <c r="A55" s="28" t="n"/>
      <c r="B55" s="28" t="n"/>
      <c r="C55" s="28" t="n"/>
      <c r="D55" s="27" t="n"/>
      <c r="E55" s="34" t="n"/>
      <c r="F55" s="35">
        <f>IF(D55="","",D55+IF(E55="",Setup!$B$10,E55))</f>
        <v/>
      </c>
      <c r="G55" s="29" t="n"/>
      <c r="H55" s="29" t="n"/>
      <c r="I55" s="26">
        <f>IF(G55="","",G55-N(H55))</f>
        <v/>
      </c>
      <c r="J55" s="27" t="n"/>
      <c r="K55" s="24">
        <f>IF(G55="","",IF(I55&lt;=0,"Paid",IF(TODAY()&gt;F55,"Overdue","Open")))</f>
        <v/>
      </c>
      <c r="L55" s="33">
        <f>IF(K55="Overdue",TODAY()-F55,"")</f>
        <v/>
      </c>
      <c r="M55" s="28" t="n"/>
    </row>
    <row r="56">
      <c r="A56" s="28" t="n"/>
      <c r="B56" s="28" t="n"/>
      <c r="C56" s="28" t="n"/>
      <c r="D56" s="27" t="n"/>
      <c r="E56" s="34" t="n"/>
      <c r="F56" s="35">
        <f>IF(D56="","",D56+IF(E56="",Setup!$B$10,E56))</f>
        <v/>
      </c>
      <c r="G56" s="29" t="n"/>
      <c r="H56" s="29" t="n"/>
      <c r="I56" s="26">
        <f>IF(G56="","",G56-N(H56))</f>
        <v/>
      </c>
      <c r="J56" s="27" t="n"/>
      <c r="K56" s="24">
        <f>IF(G56="","",IF(I56&lt;=0,"Paid",IF(TODAY()&gt;F56,"Overdue","Open")))</f>
        <v/>
      </c>
      <c r="L56" s="33">
        <f>IF(K56="Overdue",TODAY()-F56,"")</f>
        <v/>
      </c>
      <c r="M56" s="28" t="n"/>
    </row>
    <row r="57">
      <c r="A57" s="28" t="n"/>
      <c r="B57" s="28" t="n"/>
      <c r="C57" s="28" t="n"/>
      <c r="D57" s="27" t="n"/>
      <c r="E57" s="34" t="n"/>
      <c r="F57" s="35">
        <f>IF(D57="","",D57+IF(E57="",Setup!$B$10,E57))</f>
        <v/>
      </c>
      <c r="G57" s="29" t="n"/>
      <c r="H57" s="29" t="n"/>
      <c r="I57" s="26">
        <f>IF(G57="","",G57-N(H57))</f>
        <v/>
      </c>
      <c r="J57" s="27" t="n"/>
      <c r="K57" s="24">
        <f>IF(G57="","",IF(I57&lt;=0,"Paid",IF(TODAY()&gt;F57,"Overdue","Open")))</f>
        <v/>
      </c>
      <c r="L57" s="33">
        <f>IF(K57="Overdue",TODAY()-F57,"")</f>
        <v/>
      </c>
      <c r="M57" s="28" t="n"/>
    </row>
    <row r="58">
      <c r="A58" s="28" t="n"/>
      <c r="B58" s="28" t="n"/>
      <c r="C58" s="28" t="n"/>
      <c r="D58" s="27" t="n"/>
      <c r="E58" s="34" t="n"/>
      <c r="F58" s="35">
        <f>IF(D58="","",D58+IF(E58="",Setup!$B$10,E58))</f>
        <v/>
      </c>
      <c r="G58" s="29" t="n"/>
      <c r="H58" s="29" t="n"/>
      <c r="I58" s="26">
        <f>IF(G58="","",G58-N(H58))</f>
        <v/>
      </c>
      <c r="J58" s="27" t="n"/>
      <c r="K58" s="24">
        <f>IF(G58="","",IF(I58&lt;=0,"Paid",IF(TODAY()&gt;F58,"Overdue","Open")))</f>
        <v/>
      </c>
      <c r="L58" s="33">
        <f>IF(K58="Overdue",TODAY()-F58,"")</f>
        <v/>
      </c>
      <c r="M58" s="28" t="n"/>
    </row>
    <row r="59">
      <c r="A59" s="28" t="n"/>
      <c r="B59" s="28" t="n"/>
      <c r="C59" s="28" t="n"/>
      <c r="D59" s="27" t="n"/>
      <c r="E59" s="34" t="n"/>
      <c r="F59" s="35">
        <f>IF(D59="","",D59+IF(E59="",Setup!$B$10,E59))</f>
        <v/>
      </c>
      <c r="G59" s="29" t="n"/>
      <c r="H59" s="29" t="n"/>
      <c r="I59" s="26">
        <f>IF(G59="","",G59-N(H59))</f>
        <v/>
      </c>
      <c r="J59" s="27" t="n"/>
      <c r="K59" s="24">
        <f>IF(G59="","",IF(I59&lt;=0,"Paid",IF(TODAY()&gt;F59,"Overdue","Open")))</f>
        <v/>
      </c>
      <c r="L59" s="33">
        <f>IF(K59="Overdue",TODAY()-F59,"")</f>
        <v/>
      </c>
      <c r="M59" s="28" t="n"/>
    </row>
    <row r="60">
      <c r="A60" s="28" t="n"/>
      <c r="B60" s="28" t="n"/>
      <c r="C60" s="28" t="n"/>
      <c r="D60" s="27" t="n"/>
      <c r="E60" s="34" t="n"/>
      <c r="F60" s="35">
        <f>IF(D60="","",D60+IF(E60="",Setup!$B$10,E60))</f>
        <v/>
      </c>
      <c r="G60" s="29" t="n"/>
      <c r="H60" s="29" t="n"/>
      <c r="I60" s="26">
        <f>IF(G60="","",G60-N(H60))</f>
        <v/>
      </c>
      <c r="J60" s="27" t="n"/>
      <c r="K60" s="24">
        <f>IF(G60="","",IF(I60&lt;=0,"Paid",IF(TODAY()&gt;F60,"Overdue","Open")))</f>
        <v/>
      </c>
      <c r="L60" s="33">
        <f>IF(K60="Overdue",TODAY()-F60,"")</f>
        <v/>
      </c>
      <c r="M60" s="28" t="n"/>
    </row>
    <row r="61">
      <c r="A61" s="28" t="n"/>
      <c r="B61" s="28" t="n"/>
      <c r="C61" s="28" t="n"/>
      <c r="D61" s="27" t="n"/>
      <c r="E61" s="34" t="n"/>
      <c r="F61" s="35">
        <f>IF(D61="","",D61+IF(E61="",Setup!$B$10,E61))</f>
        <v/>
      </c>
      <c r="G61" s="29" t="n"/>
      <c r="H61" s="29" t="n"/>
      <c r="I61" s="26">
        <f>IF(G61="","",G61-N(H61))</f>
        <v/>
      </c>
      <c r="J61" s="27" t="n"/>
      <c r="K61" s="24">
        <f>IF(G61="","",IF(I61&lt;=0,"Paid",IF(TODAY()&gt;F61,"Overdue","Open")))</f>
        <v/>
      </c>
      <c r="L61" s="33">
        <f>IF(K61="Overdue",TODAY()-F61,"")</f>
        <v/>
      </c>
      <c r="M61" s="28" t="n"/>
    </row>
    <row r="62">
      <c r="A62" s="28" t="n"/>
      <c r="B62" s="28" t="n"/>
      <c r="C62" s="28" t="n"/>
      <c r="D62" s="27" t="n"/>
      <c r="E62" s="34" t="n"/>
      <c r="F62" s="35">
        <f>IF(D62="","",D62+IF(E62="",Setup!$B$10,E62))</f>
        <v/>
      </c>
      <c r="G62" s="29" t="n"/>
      <c r="H62" s="29" t="n"/>
      <c r="I62" s="26">
        <f>IF(G62="","",G62-N(H62))</f>
        <v/>
      </c>
      <c r="J62" s="27" t="n"/>
      <c r="K62" s="24">
        <f>IF(G62="","",IF(I62&lt;=0,"Paid",IF(TODAY()&gt;F62,"Overdue","Open")))</f>
        <v/>
      </c>
      <c r="L62" s="33">
        <f>IF(K62="Overdue",TODAY()-F62,"")</f>
        <v/>
      </c>
      <c r="M62" s="28" t="n"/>
    </row>
    <row r="63">
      <c r="A63" s="28" t="n"/>
      <c r="B63" s="28" t="n"/>
      <c r="C63" s="28" t="n"/>
      <c r="D63" s="27" t="n"/>
      <c r="E63" s="34" t="n"/>
      <c r="F63" s="35">
        <f>IF(D63="","",D63+IF(E63="",Setup!$B$10,E63))</f>
        <v/>
      </c>
      <c r="G63" s="29" t="n"/>
      <c r="H63" s="29" t="n"/>
      <c r="I63" s="26">
        <f>IF(G63="","",G63-N(H63))</f>
        <v/>
      </c>
      <c r="J63" s="27" t="n"/>
      <c r="K63" s="24">
        <f>IF(G63="","",IF(I63&lt;=0,"Paid",IF(TODAY()&gt;F63,"Overdue","Open")))</f>
        <v/>
      </c>
      <c r="L63" s="33">
        <f>IF(K63="Overdue",TODAY()-F63,"")</f>
        <v/>
      </c>
      <c r="M63" s="28" t="n"/>
    </row>
    <row r="64">
      <c r="A64" s="28" t="n"/>
      <c r="B64" s="28" t="n"/>
      <c r="C64" s="28" t="n"/>
      <c r="D64" s="27" t="n"/>
      <c r="E64" s="34" t="n"/>
      <c r="F64" s="35">
        <f>IF(D64="","",D64+IF(E64="",Setup!$B$10,E64))</f>
        <v/>
      </c>
      <c r="G64" s="29" t="n"/>
      <c r="H64" s="29" t="n"/>
      <c r="I64" s="26">
        <f>IF(G64="","",G64-N(H64))</f>
        <v/>
      </c>
      <c r="J64" s="27" t="n"/>
      <c r="K64" s="24">
        <f>IF(G64="","",IF(I64&lt;=0,"Paid",IF(TODAY()&gt;F64,"Overdue","Open")))</f>
        <v/>
      </c>
      <c r="L64" s="33">
        <f>IF(K64="Overdue",TODAY()-F64,"")</f>
        <v/>
      </c>
      <c r="M64" s="28" t="n"/>
    </row>
    <row r="65">
      <c r="A65" s="28" t="n"/>
      <c r="B65" s="28" t="n"/>
      <c r="C65" s="28" t="n"/>
      <c r="D65" s="27" t="n"/>
      <c r="E65" s="34" t="n"/>
      <c r="F65" s="35">
        <f>IF(D65="","",D65+IF(E65="",Setup!$B$10,E65))</f>
        <v/>
      </c>
      <c r="G65" s="29" t="n"/>
      <c r="H65" s="29" t="n"/>
      <c r="I65" s="26">
        <f>IF(G65="","",G65-N(H65))</f>
        <v/>
      </c>
      <c r="J65" s="27" t="n"/>
      <c r="K65" s="24">
        <f>IF(G65="","",IF(I65&lt;=0,"Paid",IF(TODAY()&gt;F65,"Overdue","Open")))</f>
        <v/>
      </c>
      <c r="L65" s="33">
        <f>IF(K65="Overdue",TODAY()-F65,"")</f>
        <v/>
      </c>
      <c r="M65" s="28" t="n"/>
    </row>
    <row r="66">
      <c r="A66" s="28" t="n"/>
      <c r="B66" s="28" t="n"/>
      <c r="C66" s="28" t="n"/>
      <c r="D66" s="27" t="n"/>
      <c r="E66" s="34" t="n"/>
      <c r="F66" s="35">
        <f>IF(D66="","",D66+IF(E66="",Setup!$B$10,E66))</f>
        <v/>
      </c>
      <c r="G66" s="29" t="n"/>
      <c r="H66" s="29" t="n"/>
      <c r="I66" s="26">
        <f>IF(G66="","",G66-N(H66))</f>
        <v/>
      </c>
      <c r="J66" s="27" t="n"/>
      <c r="K66" s="24">
        <f>IF(G66="","",IF(I66&lt;=0,"Paid",IF(TODAY()&gt;F66,"Overdue","Open")))</f>
        <v/>
      </c>
      <c r="L66" s="33">
        <f>IF(K66="Overdue",TODAY()-F66,"")</f>
        <v/>
      </c>
      <c r="M66" s="28" t="n"/>
    </row>
    <row r="67">
      <c r="A67" s="28" t="n"/>
      <c r="B67" s="28" t="n"/>
      <c r="C67" s="28" t="n"/>
      <c r="D67" s="27" t="n"/>
      <c r="E67" s="34" t="n"/>
      <c r="F67" s="35">
        <f>IF(D67="","",D67+IF(E67="",Setup!$B$10,E67))</f>
        <v/>
      </c>
      <c r="G67" s="29" t="n"/>
      <c r="H67" s="29" t="n"/>
      <c r="I67" s="26">
        <f>IF(G67="","",G67-N(H67))</f>
        <v/>
      </c>
      <c r="J67" s="27" t="n"/>
      <c r="K67" s="24">
        <f>IF(G67="","",IF(I67&lt;=0,"Paid",IF(TODAY()&gt;F67,"Overdue","Open")))</f>
        <v/>
      </c>
      <c r="L67" s="33">
        <f>IF(K67="Overdue",TODAY()-F67,"")</f>
        <v/>
      </c>
      <c r="M67" s="28" t="n"/>
    </row>
    <row r="68">
      <c r="A68" s="28" t="n"/>
      <c r="B68" s="28" t="n"/>
      <c r="C68" s="28" t="n"/>
      <c r="D68" s="27" t="n"/>
      <c r="E68" s="34" t="n"/>
      <c r="F68" s="35">
        <f>IF(D68="","",D68+IF(E68="",Setup!$B$10,E68))</f>
        <v/>
      </c>
      <c r="G68" s="29" t="n"/>
      <c r="H68" s="29" t="n"/>
      <c r="I68" s="26">
        <f>IF(G68="","",G68-N(H68))</f>
        <v/>
      </c>
      <c r="J68" s="27" t="n"/>
      <c r="K68" s="24">
        <f>IF(G68="","",IF(I68&lt;=0,"Paid",IF(TODAY()&gt;F68,"Overdue","Open")))</f>
        <v/>
      </c>
      <c r="L68" s="33">
        <f>IF(K68="Overdue",TODAY()-F68,"")</f>
        <v/>
      </c>
      <c r="M68" s="28" t="n"/>
    </row>
    <row r="69">
      <c r="A69" s="28" t="n"/>
      <c r="B69" s="28" t="n"/>
      <c r="C69" s="28" t="n"/>
      <c r="D69" s="27" t="n"/>
      <c r="E69" s="34" t="n"/>
      <c r="F69" s="35">
        <f>IF(D69="","",D69+IF(E69="",Setup!$B$10,E69))</f>
        <v/>
      </c>
      <c r="G69" s="29" t="n"/>
      <c r="H69" s="29" t="n"/>
      <c r="I69" s="26">
        <f>IF(G69="","",G69-N(H69))</f>
        <v/>
      </c>
      <c r="J69" s="27" t="n"/>
      <c r="K69" s="24">
        <f>IF(G69="","",IF(I69&lt;=0,"Paid",IF(TODAY()&gt;F69,"Overdue","Open")))</f>
        <v/>
      </c>
      <c r="L69" s="33">
        <f>IF(K69="Overdue",TODAY()-F69,"")</f>
        <v/>
      </c>
      <c r="M69" s="28" t="n"/>
    </row>
    <row r="70">
      <c r="A70" s="28" t="n"/>
      <c r="B70" s="28" t="n"/>
      <c r="C70" s="28" t="n"/>
      <c r="D70" s="27" t="n"/>
      <c r="E70" s="34" t="n"/>
      <c r="F70" s="35">
        <f>IF(D70="","",D70+IF(E70="",Setup!$B$10,E70))</f>
        <v/>
      </c>
      <c r="G70" s="29" t="n"/>
      <c r="H70" s="29" t="n"/>
      <c r="I70" s="26">
        <f>IF(G70="","",G70-N(H70))</f>
        <v/>
      </c>
      <c r="J70" s="27" t="n"/>
      <c r="K70" s="24">
        <f>IF(G70="","",IF(I70&lt;=0,"Paid",IF(TODAY()&gt;F70,"Overdue","Open")))</f>
        <v/>
      </c>
      <c r="L70" s="33">
        <f>IF(K70="Overdue",TODAY()-F70,"")</f>
        <v/>
      </c>
      <c r="M70" s="28" t="n"/>
    </row>
    <row r="71">
      <c r="A71" s="28" t="n"/>
      <c r="B71" s="28" t="n"/>
      <c r="C71" s="28" t="n"/>
      <c r="D71" s="27" t="n"/>
      <c r="E71" s="34" t="n"/>
      <c r="F71" s="35">
        <f>IF(D71="","",D71+IF(E71="",Setup!$B$10,E71))</f>
        <v/>
      </c>
      <c r="G71" s="29" t="n"/>
      <c r="H71" s="29" t="n"/>
      <c r="I71" s="26">
        <f>IF(G71="","",G71-N(H71))</f>
        <v/>
      </c>
      <c r="J71" s="27" t="n"/>
      <c r="K71" s="24">
        <f>IF(G71="","",IF(I71&lt;=0,"Paid",IF(TODAY()&gt;F71,"Overdue","Open")))</f>
        <v/>
      </c>
      <c r="L71" s="33">
        <f>IF(K71="Overdue",TODAY()-F71,"")</f>
        <v/>
      </c>
      <c r="M71" s="28" t="n"/>
    </row>
    <row r="72">
      <c r="A72" s="28" t="n"/>
      <c r="B72" s="28" t="n"/>
      <c r="C72" s="28" t="n"/>
      <c r="D72" s="27" t="n"/>
      <c r="E72" s="34" t="n"/>
      <c r="F72" s="35">
        <f>IF(D72="","",D72+IF(E72="",Setup!$B$10,E72))</f>
        <v/>
      </c>
      <c r="G72" s="29" t="n"/>
      <c r="H72" s="29" t="n"/>
      <c r="I72" s="26">
        <f>IF(G72="","",G72-N(H72))</f>
        <v/>
      </c>
      <c r="J72" s="27" t="n"/>
      <c r="K72" s="24">
        <f>IF(G72="","",IF(I72&lt;=0,"Paid",IF(TODAY()&gt;F72,"Overdue","Open")))</f>
        <v/>
      </c>
      <c r="L72" s="33">
        <f>IF(K72="Overdue",TODAY()-F72,"")</f>
        <v/>
      </c>
      <c r="M72" s="28" t="n"/>
    </row>
    <row r="73">
      <c r="A73" s="28" t="n"/>
      <c r="B73" s="28" t="n"/>
      <c r="C73" s="28" t="n"/>
      <c r="D73" s="27" t="n"/>
      <c r="E73" s="34" t="n"/>
      <c r="F73" s="35">
        <f>IF(D73="","",D73+IF(E73="",Setup!$B$10,E73))</f>
        <v/>
      </c>
      <c r="G73" s="29" t="n"/>
      <c r="H73" s="29" t="n"/>
      <c r="I73" s="26">
        <f>IF(G73="","",G73-N(H73))</f>
        <v/>
      </c>
      <c r="J73" s="27" t="n"/>
      <c r="K73" s="24">
        <f>IF(G73="","",IF(I73&lt;=0,"Paid",IF(TODAY()&gt;F73,"Overdue","Open")))</f>
        <v/>
      </c>
      <c r="L73" s="33">
        <f>IF(K73="Overdue",TODAY()-F73,"")</f>
        <v/>
      </c>
      <c r="M73" s="28" t="n"/>
    </row>
    <row r="74">
      <c r="A74" s="28" t="n"/>
      <c r="B74" s="28" t="n"/>
      <c r="C74" s="28" t="n"/>
      <c r="D74" s="27" t="n"/>
      <c r="E74" s="34" t="n"/>
      <c r="F74" s="35">
        <f>IF(D74="","",D74+IF(E74="",Setup!$B$10,E74))</f>
        <v/>
      </c>
      <c r="G74" s="29" t="n"/>
      <c r="H74" s="29" t="n"/>
      <c r="I74" s="26">
        <f>IF(G74="","",G74-N(H74))</f>
        <v/>
      </c>
      <c r="J74" s="27" t="n"/>
      <c r="K74" s="24">
        <f>IF(G74="","",IF(I74&lt;=0,"Paid",IF(TODAY()&gt;F74,"Overdue","Open")))</f>
        <v/>
      </c>
      <c r="L74" s="33">
        <f>IF(K74="Overdue",TODAY()-F74,"")</f>
        <v/>
      </c>
      <c r="M74" s="28" t="n"/>
    </row>
    <row r="75">
      <c r="A75" s="28" t="n"/>
      <c r="B75" s="28" t="n"/>
      <c r="C75" s="28" t="n"/>
      <c r="D75" s="27" t="n"/>
      <c r="E75" s="34" t="n"/>
      <c r="F75" s="35">
        <f>IF(D75="","",D75+IF(E75="",Setup!$B$10,E75))</f>
        <v/>
      </c>
      <c r="G75" s="29" t="n"/>
      <c r="H75" s="29" t="n"/>
      <c r="I75" s="26">
        <f>IF(G75="","",G75-N(H75))</f>
        <v/>
      </c>
      <c r="J75" s="27" t="n"/>
      <c r="K75" s="24">
        <f>IF(G75="","",IF(I75&lt;=0,"Paid",IF(TODAY()&gt;F75,"Overdue","Open")))</f>
        <v/>
      </c>
      <c r="L75" s="33">
        <f>IF(K75="Overdue",TODAY()-F75,"")</f>
        <v/>
      </c>
      <c r="M75" s="28" t="n"/>
    </row>
    <row r="76">
      <c r="A76" s="28" t="n"/>
      <c r="B76" s="28" t="n"/>
      <c r="C76" s="28" t="n"/>
      <c r="D76" s="27" t="n"/>
      <c r="E76" s="34" t="n"/>
      <c r="F76" s="35">
        <f>IF(D76="","",D76+IF(E76="",Setup!$B$10,E76))</f>
        <v/>
      </c>
      <c r="G76" s="29" t="n"/>
      <c r="H76" s="29" t="n"/>
      <c r="I76" s="26">
        <f>IF(G76="","",G76-N(H76))</f>
        <v/>
      </c>
      <c r="J76" s="27" t="n"/>
      <c r="K76" s="24">
        <f>IF(G76="","",IF(I76&lt;=0,"Paid",IF(TODAY()&gt;F76,"Overdue","Open")))</f>
        <v/>
      </c>
      <c r="L76" s="33">
        <f>IF(K76="Overdue",TODAY()-F76,"")</f>
        <v/>
      </c>
      <c r="M76" s="28" t="n"/>
    </row>
    <row r="77">
      <c r="A77" s="28" t="n"/>
      <c r="B77" s="28" t="n"/>
      <c r="C77" s="28" t="n"/>
      <c r="D77" s="27" t="n"/>
      <c r="E77" s="34" t="n"/>
      <c r="F77" s="35">
        <f>IF(D77="","",D77+IF(E77="",Setup!$B$10,E77))</f>
        <v/>
      </c>
      <c r="G77" s="29" t="n"/>
      <c r="H77" s="29" t="n"/>
      <c r="I77" s="26">
        <f>IF(G77="","",G77-N(H77))</f>
        <v/>
      </c>
      <c r="J77" s="27" t="n"/>
      <c r="K77" s="24">
        <f>IF(G77="","",IF(I77&lt;=0,"Paid",IF(TODAY()&gt;F77,"Overdue","Open")))</f>
        <v/>
      </c>
      <c r="L77" s="33">
        <f>IF(K77="Overdue",TODAY()-F77,"")</f>
        <v/>
      </c>
      <c r="M77" s="28" t="n"/>
    </row>
    <row r="78">
      <c r="A78" s="28" t="n"/>
      <c r="B78" s="28" t="n"/>
      <c r="C78" s="28" t="n"/>
      <c r="D78" s="27" t="n"/>
      <c r="E78" s="34" t="n"/>
      <c r="F78" s="35">
        <f>IF(D78="","",D78+IF(E78="",Setup!$B$10,E78))</f>
        <v/>
      </c>
      <c r="G78" s="29" t="n"/>
      <c r="H78" s="29" t="n"/>
      <c r="I78" s="26">
        <f>IF(G78="","",G78-N(H78))</f>
        <v/>
      </c>
      <c r="J78" s="27" t="n"/>
      <c r="K78" s="24">
        <f>IF(G78="","",IF(I78&lt;=0,"Paid",IF(TODAY()&gt;F78,"Overdue","Open")))</f>
        <v/>
      </c>
      <c r="L78" s="33">
        <f>IF(K78="Overdue",TODAY()-F78,"")</f>
        <v/>
      </c>
      <c r="M78" s="28" t="n"/>
    </row>
    <row r="79">
      <c r="A79" s="28" t="n"/>
      <c r="B79" s="28" t="n"/>
      <c r="C79" s="28" t="n"/>
      <c r="D79" s="27" t="n"/>
      <c r="E79" s="34" t="n"/>
      <c r="F79" s="35">
        <f>IF(D79="","",D79+IF(E79="",Setup!$B$10,E79))</f>
        <v/>
      </c>
      <c r="G79" s="29" t="n"/>
      <c r="H79" s="29" t="n"/>
      <c r="I79" s="26">
        <f>IF(G79="","",G79-N(H79))</f>
        <v/>
      </c>
      <c r="J79" s="27" t="n"/>
      <c r="K79" s="24">
        <f>IF(G79="","",IF(I79&lt;=0,"Paid",IF(TODAY()&gt;F79,"Overdue","Open")))</f>
        <v/>
      </c>
      <c r="L79" s="33">
        <f>IF(K79="Overdue",TODAY()-F79,"")</f>
        <v/>
      </c>
      <c r="M79" s="28" t="n"/>
    </row>
    <row r="80">
      <c r="A80" s="28" t="n"/>
      <c r="B80" s="28" t="n"/>
      <c r="C80" s="28" t="n"/>
      <c r="D80" s="27" t="n"/>
      <c r="E80" s="34" t="n"/>
      <c r="F80" s="35">
        <f>IF(D80="","",D80+IF(E80="",Setup!$B$10,E80))</f>
        <v/>
      </c>
      <c r="G80" s="29" t="n"/>
      <c r="H80" s="29" t="n"/>
      <c r="I80" s="26">
        <f>IF(G80="","",G80-N(H80))</f>
        <v/>
      </c>
      <c r="J80" s="27" t="n"/>
      <c r="K80" s="24">
        <f>IF(G80="","",IF(I80&lt;=0,"Paid",IF(TODAY()&gt;F80,"Overdue","Open")))</f>
        <v/>
      </c>
      <c r="L80" s="33">
        <f>IF(K80="Overdue",TODAY()-F80,"")</f>
        <v/>
      </c>
      <c r="M80" s="28" t="n"/>
    </row>
    <row r="81">
      <c r="A81" s="28" t="n"/>
      <c r="B81" s="28" t="n"/>
      <c r="C81" s="28" t="n"/>
      <c r="D81" s="27" t="n"/>
      <c r="E81" s="34" t="n"/>
      <c r="F81" s="35">
        <f>IF(D81="","",D81+IF(E81="",Setup!$B$10,E81))</f>
        <v/>
      </c>
      <c r="G81" s="29" t="n"/>
      <c r="H81" s="29" t="n"/>
      <c r="I81" s="26">
        <f>IF(G81="","",G81-N(H81))</f>
        <v/>
      </c>
      <c r="J81" s="27" t="n"/>
      <c r="K81" s="24">
        <f>IF(G81="","",IF(I81&lt;=0,"Paid",IF(TODAY()&gt;F81,"Overdue","Open")))</f>
        <v/>
      </c>
      <c r="L81" s="33">
        <f>IF(K81="Overdue",TODAY()-F81,"")</f>
        <v/>
      </c>
      <c r="M81" s="28" t="n"/>
    </row>
    <row r="82">
      <c r="A82" s="28" t="n"/>
      <c r="B82" s="28" t="n"/>
      <c r="C82" s="28" t="n"/>
      <c r="D82" s="27" t="n"/>
      <c r="E82" s="34" t="n"/>
      <c r="F82" s="35">
        <f>IF(D82="","",D82+IF(E82="",Setup!$B$10,E82))</f>
        <v/>
      </c>
      <c r="G82" s="29" t="n"/>
      <c r="H82" s="29" t="n"/>
      <c r="I82" s="26">
        <f>IF(G82="","",G82-N(H82))</f>
        <v/>
      </c>
      <c r="J82" s="27" t="n"/>
      <c r="K82" s="24">
        <f>IF(G82="","",IF(I82&lt;=0,"Paid",IF(TODAY()&gt;F82,"Overdue","Open")))</f>
        <v/>
      </c>
      <c r="L82" s="33">
        <f>IF(K82="Overdue",TODAY()-F82,"")</f>
        <v/>
      </c>
      <c r="M82" s="28" t="n"/>
    </row>
    <row r="83">
      <c r="A83" s="28" t="n"/>
      <c r="B83" s="28" t="n"/>
      <c r="C83" s="28" t="n"/>
      <c r="D83" s="27" t="n"/>
      <c r="E83" s="34" t="n"/>
      <c r="F83" s="35">
        <f>IF(D83="","",D83+IF(E83="",Setup!$B$10,E83))</f>
        <v/>
      </c>
      <c r="G83" s="29" t="n"/>
      <c r="H83" s="29" t="n"/>
      <c r="I83" s="26">
        <f>IF(G83="","",G83-N(H83))</f>
        <v/>
      </c>
      <c r="J83" s="27" t="n"/>
      <c r="K83" s="24">
        <f>IF(G83="","",IF(I83&lt;=0,"Paid",IF(TODAY()&gt;F83,"Overdue","Open")))</f>
        <v/>
      </c>
      <c r="L83" s="33">
        <f>IF(K83="Overdue",TODAY()-F83,"")</f>
        <v/>
      </c>
      <c r="M83" s="28" t="n"/>
    </row>
    <row r="84">
      <c r="A84" s="28" t="n"/>
      <c r="B84" s="28" t="n"/>
      <c r="C84" s="28" t="n"/>
      <c r="D84" s="27" t="n"/>
      <c r="E84" s="34" t="n"/>
      <c r="F84" s="35">
        <f>IF(D84="","",D84+IF(E84="",Setup!$B$10,E84))</f>
        <v/>
      </c>
      <c r="G84" s="29" t="n"/>
      <c r="H84" s="29" t="n"/>
      <c r="I84" s="26">
        <f>IF(G84="","",G84-N(H84))</f>
        <v/>
      </c>
      <c r="J84" s="27" t="n"/>
      <c r="K84" s="24">
        <f>IF(G84="","",IF(I84&lt;=0,"Paid",IF(TODAY()&gt;F84,"Overdue","Open")))</f>
        <v/>
      </c>
      <c r="L84" s="33">
        <f>IF(K84="Overdue",TODAY()-F84,"")</f>
        <v/>
      </c>
      <c r="M84" s="28" t="n"/>
    </row>
    <row r="85">
      <c r="A85" s="28" t="n"/>
      <c r="B85" s="28" t="n"/>
      <c r="C85" s="28" t="n"/>
      <c r="D85" s="27" t="n"/>
      <c r="E85" s="34" t="n"/>
      <c r="F85" s="35">
        <f>IF(D85="","",D85+IF(E85="",Setup!$B$10,E85))</f>
        <v/>
      </c>
      <c r="G85" s="29" t="n"/>
      <c r="H85" s="29" t="n"/>
      <c r="I85" s="26">
        <f>IF(G85="","",G85-N(H85))</f>
        <v/>
      </c>
      <c r="J85" s="27" t="n"/>
      <c r="K85" s="24">
        <f>IF(G85="","",IF(I85&lt;=0,"Paid",IF(TODAY()&gt;F85,"Overdue","Open")))</f>
        <v/>
      </c>
      <c r="L85" s="33">
        <f>IF(K85="Overdue",TODAY()-F85,"")</f>
        <v/>
      </c>
      <c r="M85" s="28" t="n"/>
    </row>
    <row r="86">
      <c r="A86" s="28" t="n"/>
      <c r="B86" s="28" t="n"/>
      <c r="C86" s="28" t="n"/>
      <c r="D86" s="27" t="n"/>
      <c r="E86" s="34" t="n"/>
      <c r="F86" s="35">
        <f>IF(D86="","",D86+IF(E86="",Setup!$B$10,E86))</f>
        <v/>
      </c>
      <c r="G86" s="29" t="n"/>
      <c r="H86" s="29" t="n"/>
      <c r="I86" s="26">
        <f>IF(G86="","",G86-N(H86))</f>
        <v/>
      </c>
      <c r="J86" s="27" t="n"/>
      <c r="K86" s="24">
        <f>IF(G86="","",IF(I86&lt;=0,"Paid",IF(TODAY()&gt;F86,"Overdue","Open")))</f>
        <v/>
      </c>
      <c r="L86" s="33">
        <f>IF(K86="Overdue",TODAY()-F86,"")</f>
        <v/>
      </c>
      <c r="M86" s="28" t="n"/>
    </row>
    <row r="87">
      <c r="A87" s="28" t="n"/>
      <c r="B87" s="28" t="n"/>
      <c r="C87" s="28" t="n"/>
      <c r="D87" s="27" t="n"/>
      <c r="E87" s="34" t="n"/>
      <c r="F87" s="35">
        <f>IF(D87="","",D87+IF(E87="",Setup!$B$10,E87))</f>
        <v/>
      </c>
      <c r="G87" s="29" t="n"/>
      <c r="H87" s="29" t="n"/>
      <c r="I87" s="26">
        <f>IF(G87="","",G87-N(H87))</f>
        <v/>
      </c>
      <c r="J87" s="27" t="n"/>
      <c r="K87" s="24">
        <f>IF(G87="","",IF(I87&lt;=0,"Paid",IF(TODAY()&gt;F87,"Overdue","Open")))</f>
        <v/>
      </c>
      <c r="L87" s="33">
        <f>IF(K87="Overdue",TODAY()-F87,"")</f>
        <v/>
      </c>
      <c r="M87" s="28" t="n"/>
    </row>
    <row r="88">
      <c r="A88" s="28" t="n"/>
      <c r="B88" s="28" t="n"/>
      <c r="C88" s="28" t="n"/>
      <c r="D88" s="27" t="n"/>
      <c r="E88" s="34" t="n"/>
      <c r="F88" s="35">
        <f>IF(D88="","",D88+IF(E88="",Setup!$B$10,E88))</f>
        <v/>
      </c>
      <c r="G88" s="29" t="n"/>
      <c r="H88" s="29" t="n"/>
      <c r="I88" s="26">
        <f>IF(G88="","",G88-N(H88))</f>
        <v/>
      </c>
      <c r="J88" s="27" t="n"/>
      <c r="K88" s="24">
        <f>IF(G88="","",IF(I88&lt;=0,"Paid",IF(TODAY()&gt;F88,"Overdue","Open")))</f>
        <v/>
      </c>
      <c r="L88" s="33">
        <f>IF(K88="Overdue",TODAY()-F88,"")</f>
        <v/>
      </c>
      <c r="M88" s="28" t="n"/>
    </row>
    <row r="89">
      <c r="A89" s="28" t="n"/>
      <c r="B89" s="28" t="n"/>
      <c r="C89" s="28" t="n"/>
      <c r="D89" s="27" t="n"/>
      <c r="E89" s="34" t="n"/>
      <c r="F89" s="35">
        <f>IF(D89="","",D89+IF(E89="",Setup!$B$10,E89))</f>
        <v/>
      </c>
      <c r="G89" s="29" t="n"/>
      <c r="H89" s="29" t="n"/>
      <c r="I89" s="26">
        <f>IF(G89="","",G89-N(H89))</f>
        <v/>
      </c>
      <c r="J89" s="27" t="n"/>
      <c r="K89" s="24">
        <f>IF(G89="","",IF(I89&lt;=0,"Paid",IF(TODAY()&gt;F89,"Overdue","Open")))</f>
        <v/>
      </c>
      <c r="L89" s="33">
        <f>IF(K89="Overdue",TODAY()-F89,"")</f>
        <v/>
      </c>
      <c r="M89" s="28" t="n"/>
    </row>
    <row r="90">
      <c r="A90" s="28" t="n"/>
      <c r="B90" s="28" t="n"/>
      <c r="C90" s="28" t="n"/>
      <c r="D90" s="27" t="n"/>
      <c r="E90" s="34" t="n"/>
      <c r="F90" s="35">
        <f>IF(D90="","",D90+IF(E90="",Setup!$B$10,E90))</f>
        <v/>
      </c>
      <c r="G90" s="29" t="n"/>
      <c r="H90" s="29" t="n"/>
      <c r="I90" s="26">
        <f>IF(G90="","",G90-N(H90))</f>
        <v/>
      </c>
      <c r="J90" s="27" t="n"/>
      <c r="K90" s="24">
        <f>IF(G90="","",IF(I90&lt;=0,"Paid",IF(TODAY()&gt;F90,"Overdue","Open")))</f>
        <v/>
      </c>
      <c r="L90" s="33">
        <f>IF(K90="Overdue",TODAY()-F90,"")</f>
        <v/>
      </c>
      <c r="M90" s="28" t="n"/>
    </row>
    <row r="91">
      <c r="A91" s="28" t="n"/>
      <c r="B91" s="28" t="n"/>
      <c r="C91" s="28" t="n"/>
      <c r="D91" s="27" t="n"/>
      <c r="E91" s="34" t="n"/>
      <c r="F91" s="35">
        <f>IF(D91="","",D91+IF(E91="",Setup!$B$10,E91))</f>
        <v/>
      </c>
      <c r="G91" s="29" t="n"/>
      <c r="H91" s="29" t="n"/>
      <c r="I91" s="26">
        <f>IF(G91="","",G91-N(H91))</f>
        <v/>
      </c>
      <c r="J91" s="27" t="n"/>
      <c r="K91" s="24">
        <f>IF(G91="","",IF(I91&lt;=0,"Paid",IF(TODAY()&gt;F91,"Overdue","Open")))</f>
        <v/>
      </c>
      <c r="L91" s="33">
        <f>IF(K91="Overdue",TODAY()-F91,"")</f>
        <v/>
      </c>
      <c r="M91" s="28" t="n"/>
    </row>
    <row r="92">
      <c r="A92" s="28" t="n"/>
      <c r="B92" s="28" t="n"/>
      <c r="C92" s="28" t="n"/>
      <c r="D92" s="27" t="n"/>
      <c r="E92" s="34" t="n"/>
      <c r="F92" s="35">
        <f>IF(D92="","",D92+IF(E92="",Setup!$B$10,E92))</f>
        <v/>
      </c>
      <c r="G92" s="29" t="n"/>
      <c r="H92" s="29" t="n"/>
      <c r="I92" s="26">
        <f>IF(G92="","",G92-N(H92))</f>
        <v/>
      </c>
      <c r="J92" s="27" t="n"/>
      <c r="K92" s="24">
        <f>IF(G92="","",IF(I92&lt;=0,"Paid",IF(TODAY()&gt;F92,"Overdue","Open")))</f>
        <v/>
      </c>
      <c r="L92" s="33">
        <f>IF(K92="Overdue",TODAY()-F92,"")</f>
        <v/>
      </c>
      <c r="M92" s="28" t="n"/>
    </row>
    <row r="93">
      <c r="A93" s="28" t="n"/>
      <c r="B93" s="28" t="n"/>
      <c r="C93" s="28" t="n"/>
      <c r="D93" s="27" t="n"/>
      <c r="E93" s="34" t="n"/>
      <c r="F93" s="35">
        <f>IF(D93="","",D93+IF(E93="",Setup!$B$10,E93))</f>
        <v/>
      </c>
      <c r="G93" s="29" t="n"/>
      <c r="H93" s="29" t="n"/>
      <c r="I93" s="26">
        <f>IF(G93="","",G93-N(H93))</f>
        <v/>
      </c>
      <c r="J93" s="27" t="n"/>
      <c r="K93" s="24">
        <f>IF(G93="","",IF(I93&lt;=0,"Paid",IF(TODAY()&gt;F93,"Overdue","Open")))</f>
        <v/>
      </c>
      <c r="L93" s="33">
        <f>IF(K93="Overdue",TODAY()-F93,"")</f>
        <v/>
      </c>
      <c r="M93" s="28" t="n"/>
    </row>
    <row r="94">
      <c r="A94" s="28" t="n"/>
      <c r="B94" s="28" t="n"/>
      <c r="C94" s="28" t="n"/>
      <c r="D94" s="27" t="n"/>
      <c r="E94" s="34" t="n"/>
      <c r="F94" s="35">
        <f>IF(D94="","",D94+IF(E94="",Setup!$B$10,E94))</f>
        <v/>
      </c>
      <c r="G94" s="29" t="n"/>
      <c r="H94" s="29" t="n"/>
      <c r="I94" s="26">
        <f>IF(G94="","",G94-N(H94))</f>
        <v/>
      </c>
      <c r="J94" s="27" t="n"/>
      <c r="K94" s="24">
        <f>IF(G94="","",IF(I94&lt;=0,"Paid",IF(TODAY()&gt;F94,"Overdue","Open")))</f>
        <v/>
      </c>
      <c r="L94" s="33">
        <f>IF(K94="Overdue",TODAY()-F94,"")</f>
        <v/>
      </c>
      <c r="M94" s="28" t="n"/>
    </row>
    <row r="95">
      <c r="A95" s="28" t="n"/>
      <c r="B95" s="28" t="n"/>
      <c r="C95" s="28" t="n"/>
      <c r="D95" s="27" t="n"/>
      <c r="E95" s="34" t="n"/>
      <c r="F95" s="35">
        <f>IF(D95="","",D95+IF(E95="",Setup!$B$10,E95))</f>
        <v/>
      </c>
      <c r="G95" s="29" t="n"/>
      <c r="H95" s="29" t="n"/>
      <c r="I95" s="26">
        <f>IF(G95="","",G95-N(H95))</f>
        <v/>
      </c>
      <c r="J95" s="27" t="n"/>
      <c r="K95" s="24">
        <f>IF(G95="","",IF(I95&lt;=0,"Paid",IF(TODAY()&gt;F95,"Overdue","Open")))</f>
        <v/>
      </c>
      <c r="L95" s="33">
        <f>IF(K95="Overdue",TODAY()-F95,"")</f>
        <v/>
      </c>
      <c r="M95" s="28" t="n"/>
    </row>
    <row r="96">
      <c r="A96" s="28" t="n"/>
      <c r="B96" s="28" t="n"/>
      <c r="C96" s="28" t="n"/>
      <c r="D96" s="27" t="n"/>
      <c r="E96" s="34" t="n"/>
      <c r="F96" s="35">
        <f>IF(D96="","",D96+IF(E96="",Setup!$B$10,E96))</f>
        <v/>
      </c>
      <c r="G96" s="29" t="n"/>
      <c r="H96" s="29" t="n"/>
      <c r="I96" s="26">
        <f>IF(G96="","",G96-N(H96))</f>
        <v/>
      </c>
      <c r="J96" s="27" t="n"/>
      <c r="K96" s="24">
        <f>IF(G96="","",IF(I96&lt;=0,"Paid",IF(TODAY()&gt;F96,"Overdue","Open")))</f>
        <v/>
      </c>
      <c r="L96" s="33">
        <f>IF(K96="Overdue",TODAY()-F96,"")</f>
        <v/>
      </c>
      <c r="M96" s="28" t="n"/>
    </row>
    <row r="97">
      <c r="A97" s="28" t="n"/>
      <c r="B97" s="28" t="n"/>
      <c r="C97" s="28" t="n"/>
      <c r="D97" s="27" t="n"/>
      <c r="E97" s="34" t="n"/>
      <c r="F97" s="35">
        <f>IF(D97="","",D97+IF(E97="",Setup!$B$10,E97))</f>
        <v/>
      </c>
      <c r="G97" s="29" t="n"/>
      <c r="H97" s="29" t="n"/>
      <c r="I97" s="26">
        <f>IF(G97="","",G97-N(H97))</f>
        <v/>
      </c>
      <c r="J97" s="27" t="n"/>
      <c r="K97" s="24">
        <f>IF(G97="","",IF(I97&lt;=0,"Paid",IF(TODAY()&gt;F97,"Overdue","Open")))</f>
        <v/>
      </c>
      <c r="L97" s="33">
        <f>IF(K97="Overdue",TODAY()-F97,"")</f>
        <v/>
      </c>
      <c r="M97" s="28" t="n"/>
    </row>
    <row r="98">
      <c r="A98" s="28" t="n"/>
      <c r="B98" s="28" t="n"/>
      <c r="C98" s="28" t="n"/>
      <c r="D98" s="27" t="n"/>
      <c r="E98" s="34" t="n"/>
      <c r="F98" s="35">
        <f>IF(D98="","",D98+IF(E98="",Setup!$B$10,E98))</f>
        <v/>
      </c>
      <c r="G98" s="29" t="n"/>
      <c r="H98" s="29" t="n"/>
      <c r="I98" s="26">
        <f>IF(G98="","",G98-N(H98))</f>
        <v/>
      </c>
      <c r="J98" s="27" t="n"/>
      <c r="K98" s="24">
        <f>IF(G98="","",IF(I98&lt;=0,"Paid",IF(TODAY()&gt;F98,"Overdue","Open")))</f>
        <v/>
      </c>
      <c r="L98" s="33">
        <f>IF(K98="Overdue",TODAY()-F98,"")</f>
        <v/>
      </c>
      <c r="M98" s="28" t="n"/>
    </row>
    <row r="99">
      <c r="A99" s="28" t="n"/>
      <c r="B99" s="28" t="n"/>
      <c r="C99" s="28" t="n"/>
      <c r="D99" s="27" t="n"/>
      <c r="E99" s="34" t="n"/>
      <c r="F99" s="35">
        <f>IF(D99="","",D99+IF(E99="",Setup!$B$10,E99))</f>
        <v/>
      </c>
      <c r="G99" s="29" t="n"/>
      <c r="H99" s="29" t="n"/>
      <c r="I99" s="26">
        <f>IF(G99="","",G99-N(H99))</f>
        <v/>
      </c>
      <c r="J99" s="27" t="n"/>
      <c r="K99" s="24">
        <f>IF(G99="","",IF(I99&lt;=0,"Paid",IF(TODAY()&gt;F99,"Overdue","Open")))</f>
        <v/>
      </c>
      <c r="L99" s="33">
        <f>IF(K99="Overdue",TODAY()-F99,"")</f>
        <v/>
      </c>
      <c r="M99" s="28" t="n"/>
    </row>
    <row r="100">
      <c r="A100" s="28" t="n"/>
      <c r="B100" s="28" t="n"/>
      <c r="C100" s="28" t="n"/>
      <c r="D100" s="27" t="n"/>
      <c r="E100" s="34" t="n"/>
      <c r="F100" s="35">
        <f>IF(D100="","",D100+IF(E100="",Setup!$B$10,E100))</f>
        <v/>
      </c>
      <c r="G100" s="29" t="n"/>
      <c r="H100" s="29" t="n"/>
      <c r="I100" s="26">
        <f>IF(G100="","",G100-N(H100))</f>
        <v/>
      </c>
      <c r="J100" s="27" t="n"/>
      <c r="K100" s="24">
        <f>IF(G100="","",IF(I100&lt;=0,"Paid",IF(TODAY()&gt;F100,"Overdue","Open")))</f>
        <v/>
      </c>
      <c r="L100" s="33">
        <f>IF(K100="Overdue",TODAY()-F100,"")</f>
        <v/>
      </c>
      <c r="M100" s="28" t="n"/>
    </row>
    <row r="101">
      <c r="A101" s="28" t="n"/>
      <c r="B101" s="28" t="n"/>
      <c r="C101" s="28" t="n"/>
      <c r="D101" s="27" t="n"/>
      <c r="E101" s="34" t="n"/>
      <c r="F101" s="35">
        <f>IF(D101="","",D101+IF(E101="",Setup!$B$10,E101))</f>
        <v/>
      </c>
      <c r="G101" s="29" t="n"/>
      <c r="H101" s="29" t="n"/>
      <c r="I101" s="26">
        <f>IF(G101="","",G101-N(H101))</f>
        <v/>
      </c>
      <c r="J101" s="27" t="n"/>
      <c r="K101" s="24">
        <f>IF(G101="","",IF(I101&lt;=0,"Paid",IF(TODAY()&gt;F101,"Overdue","Open")))</f>
        <v/>
      </c>
      <c r="L101" s="33">
        <f>IF(K101="Overdue",TODAY()-F101,"")</f>
        <v/>
      </c>
      <c r="M101" s="28" t="n"/>
    </row>
    <row r="102">
      <c r="A102" s="28" t="n"/>
      <c r="B102" s="28" t="n"/>
      <c r="C102" s="28" t="n"/>
      <c r="D102" s="27" t="n"/>
      <c r="E102" s="34" t="n"/>
      <c r="F102" s="35">
        <f>IF(D102="","",D102+IF(E102="",Setup!$B$10,E102))</f>
        <v/>
      </c>
      <c r="G102" s="29" t="n"/>
      <c r="H102" s="29" t="n"/>
      <c r="I102" s="26">
        <f>IF(G102="","",G102-N(H102))</f>
        <v/>
      </c>
      <c r="J102" s="27" t="n"/>
      <c r="K102" s="24">
        <f>IF(G102="","",IF(I102&lt;=0,"Paid",IF(TODAY()&gt;F102,"Overdue","Open")))</f>
        <v/>
      </c>
      <c r="L102" s="33">
        <f>IF(K102="Overdue",TODAY()-F102,"")</f>
        <v/>
      </c>
      <c r="M102" s="28" t="n"/>
    </row>
    <row r="103">
      <c r="A103" s="28" t="n"/>
      <c r="B103" s="28" t="n"/>
      <c r="C103" s="28" t="n"/>
      <c r="D103" s="27" t="n"/>
      <c r="E103" s="34" t="n"/>
      <c r="F103" s="35">
        <f>IF(D103="","",D103+IF(E103="",Setup!$B$10,E103))</f>
        <v/>
      </c>
      <c r="G103" s="29" t="n"/>
      <c r="H103" s="29" t="n"/>
      <c r="I103" s="26">
        <f>IF(G103="","",G103-N(H103))</f>
        <v/>
      </c>
      <c r="J103" s="27" t="n"/>
      <c r="K103" s="24">
        <f>IF(G103="","",IF(I103&lt;=0,"Paid",IF(TODAY()&gt;F103,"Overdue","Open")))</f>
        <v/>
      </c>
      <c r="L103" s="33">
        <f>IF(K103="Overdue",TODAY()-F103,"")</f>
        <v/>
      </c>
      <c r="M103" s="28" t="n"/>
    </row>
    <row r="104">
      <c r="A104" s="28" t="n"/>
      <c r="B104" s="28" t="n"/>
      <c r="C104" s="28" t="n"/>
      <c r="D104" s="27" t="n"/>
      <c r="E104" s="34" t="n"/>
      <c r="F104" s="35">
        <f>IF(D104="","",D104+IF(E104="",Setup!$B$10,E104))</f>
        <v/>
      </c>
      <c r="G104" s="29" t="n"/>
      <c r="H104" s="29" t="n"/>
      <c r="I104" s="26">
        <f>IF(G104="","",G104-N(H104))</f>
        <v/>
      </c>
      <c r="J104" s="27" t="n"/>
      <c r="K104" s="24">
        <f>IF(G104="","",IF(I104&lt;=0,"Paid",IF(TODAY()&gt;F104,"Overdue","Open")))</f>
        <v/>
      </c>
      <c r="L104" s="33">
        <f>IF(K104="Overdue",TODAY()-F104,"")</f>
        <v/>
      </c>
      <c r="M104" s="28" t="n"/>
    </row>
    <row r="105">
      <c r="A105" s="28" t="n"/>
      <c r="B105" s="28" t="n"/>
      <c r="C105" s="28" t="n"/>
      <c r="D105" s="27" t="n"/>
      <c r="E105" s="34" t="n"/>
      <c r="F105" s="35">
        <f>IF(D105="","",D105+IF(E105="",Setup!$B$10,E105))</f>
        <v/>
      </c>
      <c r="G105" s="29" t="n"/>
      <c r="H105" s="29" t="n"/>
      <c r="I105" s="26">
        <f>IF(G105="","",G105-N(H105))</f>
        <v/>
      </c>
      <c r="J105" s="27" t="n"/>
      <c r="K105" s="24">
        <f>IF(G105="","",IF(I105&lt;=0,"Paid",IF(TODAY()&gt;F105,"Overdue","Open")))</f>
        <v/>
      </c>
      <c r="L105" s="33">
        <f>IF(K105="Overdue",TODAY()-F105,"")</f>
        <v/>
      </c>
      <c r="M105" s="28" t="n"/>
    </row>
    <row r="106">
      <c r="A106" s="28" t="n"/>
      <c r="B106" s="28" t="n"/>
      <c r="C106" s="28" t="n"/>
      <c r="D106" s="27" t="n"/>
      <c r="E106" s="34" t="n"/>
      <c r="F106" s="35">
        <f>IF(D106="","",D106+IF(E106="",Setup!$B$10,E106))</f>
        <v/>
      </c>
      <c r="G106" s="29" t="n"/>
      <c r="H106" s="29" t="n"/>
      <c r="I106" s="26">
        <f>IF(G106="","",G106-N(H106))</f>
        <v/>
      </c>
      <c r="J106" s="27" t="n"/>
      <c r="K106" s="24">
        <f>IF(G106="","",IF(I106&lt;=0,"Paid",IF(TODAY()&gt;F106,"Overdue","Open")))</f>
        <v/>
      </c>
      <c r="L106" s="33">
        <f>IF(K106="Overdue",TODAY()-F106,"")</f>
        <v/>
      </c>
      <c r="M106" s="28" t="n"/>
    </row>
    <row r="107">
      <c r="A107" s="28" t="n"/>
      <c r="B107" s="28" t="n"/>
      <c r="C107" s="28" t="n"/>
      <c r="D107" s="27" t="n"/>
      <c r="E107" s="34" t="n"/>
      <c r="F107" s="35">
        <f>IF(D107="","",D107+IF(E107="",Setup!$B$10,E107))</f>
        <v/>
      </c>
      <c r="G107" s="29" t="n"/>
      <c r="H107" s="29" t="n"/>
      <c r="I107" s="26">
        <f>IF(G107="","",G107-N(H107))</f>
        <v/>
      </c>
      <c r="J107" s="27" t="n"/>
      <c r="K107" s="24">
        <f>IF(G107="","",IF(I107&lt;=0,"Paid",IF(TODAY()&gt;F107,"Overdue","Open")))</f>
        <v/>
      </c>
      <c r="L107" s="33">
        <f>IF(K107="Overdue",TODAY()-F107,"")</f>
        <v/>
      </c>
      <c r="M107" s="28" t="n"/>
    </row>
    <row r="108">
      <c r="A108" s="28" t="n"/>
      <c r="B108" s="28" t="n"/>
      <c r="C108" s="28" t="n"/>
      <c r="D108" s="27" t="n"/>
      <c r="E108" s="34" t="n"/>
      <c r="F108" s="35">
        <f>IF(D108="","",D108+IF(E108="",Setup!$B$10,E108))</f>
        <v/>
      </c>
      <c r="G108" s="29" t="n"/>
      <c r="H108" s="29" t="n"/>
      <c r="I108" s="26">
        <f>IF(G108="","",G108-N(H108))</f>
        <v/>
      </c>
      <c r="J108" s="27" t="n"/>
      <c r="K108" s="24">
        <f>IF(G108="","",IF(I108&lt;=0,"Paid",IF(TODAY()&gt;F108,"Overdue","Open")))</f>
        <v/>
      </c>
      <c r="L108" s="33">
        <f>IF(K108="Overdue",TODAY()-F108,"")</f>
        <v/>
      </c>
      <c r="M108" s="28" t="n"/>
    </row>
    <row r="109">
      <c r="A109" s="28" t="n"/>
      <c r="B109" s="28" t="n"/>
      <c r="C109" s="28" t="n"/>
      <c r="D109" s="27" t="n"/>
      <c r="E109" s="34" t="n"/>
      <c r="F109" s="35">
        <f>IF(D109="","",D109+IF(E109="",Setup!$B$10,E109))</f>
        <v/>
      </c>
      <c r="G109" s="29" t="n"/>
      <c r="H109" s="29" t="n"/>
      <c r="I109" s="26">
        <f>IF(G109="","",G109-N(H109))</f>
        <v/>
      </c>
      <c r="J109" s="27" t="n"/>
      <c r="K109" s="24">
        <f>IF(G109="","",IF(I109&lt;=0,"Paid",IF(TODAY()&gt;F109,"Overdue","Open")))</f>
        <v/>
      </c>
      <c r="L109" s="33">
        <f>IF(K109="Overdue",TODAY()-F109,"")</f>
        <v/>
      </c>
      <c r="M109" s="28" t="n"/>
    </row>
    <row r="110">
      <c r="A110" s="28" t="n"/>
      <c r="B110" s="28" t="n"/>
      <c r="C110" s="28" t="n"/>
      <c r="D110" s="27" t="n"/>
      <c r="E110" s="34" t="n"/>
      <c r="F110" s="35">
        <f>IF(D110="","",D110+IF(E110="",Setup!$B$10,E110))</f>
        <v/>
      </c>
      <c r="G110" s="29" t="n"/>
      <c r="H110" s="29" t="n"/>
      <c r="I110" s="26">
        <f>IF(G110="","",G110-N(H110))</f>
        <v/>
      </c>
      <c r="J110" s="27" t="n"/>
      <c r="K110" s="24">
        <f>IF(G110="","",IF(I110&lt;=0,"Paid",IF(TODAY()&gt;F110,"Overdue","Open")))</f>
        <v/>
      </c>
      <c r="L110" s="33">
        <f>IF(K110="Overdue",TODAY()-F110,"")</f>
        <v/>
      </c>
      <c r="M110" s="28" t="n"/>
    </row>
    <row r="111">
      <c r="A111" s="28" t="n"/>
      <c r="B111" s="28" t="n"/>
      <c r="C111" s="28" t="n"/>
      <c r="D111" s="27" t="n"/>
      <c r="E111" s="34" t="n"/>
      <c r="F111" s="35">
        <f>IF(D111="","",D111+IF(E111="",Setup!$B$10,E111))</f>
        <v/>
      </c>
      <c r="G111" s="29" t="n"/>
      <c r="H111" s="29" t="n"/>
      <c r="I111" s="26">
        <f>IF(G111="","",G111-N(H111))</f>
        <v/>
      </c>
      <c r="J111" s="27" t="n"/>
      <c r="K111" s="24">
        <f>IF(G111="","",IF(I111&lt;=0,"Paid",IF(TODAY()&gt;F111,"Overdue","Open")))</f>
        <v/>
      </c>
      <c r="L111" s="33">
        <f>IF(K111="Overdue",TODAY()-F111,"")</f>
        <v/>
      </c>
      <c r="M111" s="28" t="n"/>
    </row>
    <row r="112">
      <c r="A112" s="28" t="n"/>
      <c r="B112" s="28" t="n"/>
      <c r="C112" s="28" t="n"/>
      <c r="D112" s="27" t="n"/>
      <c r="E112" s="34" t="n"/>
      <c r="F112" s="35">
        <f>IF(D112="","",D112+IF(E112="",Setup!$B$10,E112))</f>
        <v/>
      </c>
      <c r="G112" s="29" t="n"/>
      <c r="H112" s="29" t="n"/>
      <c r="I112" s="26">
        <f>IF(G112="","",G112-N(H112))</f>
        <v/>
      </c>
      <c r="J112" s="27" t="n"/>
      <c r="K112" s="24">
        <f>IF(G112="","",IF(I112&lt;=0,"Paid",IF(TODAY()&gt;F112,"Overdue","Open")))</f>
        <v/>
      </c>
      <c r="L112" s="33">
        <f>IF(K112="Overdue",TODAY()-F112,"")</f>
        <v/>
      </c>
      <c r="M112" s="28" t="n"/>
    </row>
    <row r="113">
      <c r="A113" s="28" t="n"/>
      <c r="B113" s="28" t="n"/>
      <c r="C113" s="28" t="n"/>
      <c r="D113" s="27" t="n"/>
      <c r="E113" s="34" t="n"/>
      <c r="F113" s="35">
        <f>IF(D113="","",D113+IF(E113="",Setup!$B$10,E113))</f>
        <v/>
      </c>
      <c r="G113" s="29" t="n"/>
      <c r="H113" s="29" t="n"/>
      <c r="I113" s="26">
        <f>IF(G113="","",G113-N(H113))</f>
        <v/>
      </c>
      <c r="J113" s="27" t="n"/>
      <c r="K113" s="24">
        <f>IF(G113="","",IF(I113&lt;=0,"Paid",IF(TODAY()&gt;F113,"Overdue","Open")))</f>
        <v/>
      </c>
      <c r="L113" s="33">
        <f>IF(K113="Overdue",TODAY()-F113,"")</f>
        <v/>
      </c>
      <c r="M113" s="28" t="n"/>
    </row>
    <row r="114">
      <c r="A114" s="28" t="n"/>
      <c r="B114" s="28" t="n"/>
      <c r="C114" s="28" t="n"/>
      <c r="D114" s="27" t="n"/>
      <c r="E114" s="34" t="n"/>
      <c r="F114" s="35">
        <f>IF(D114="","",D114+IF(E114="",Setup!$B$10,E114))</f>
        <v/>
      </c>
      <c r="G114" s="29" t="n"/>
      <c r="H114" s="29" t="n"/>
      <c r="I114" s="26">
        <f>IF(G114="","",G114-N(H114))</f>
        <v/>
      </c>
      <c r="J114" s="27" t="n"/>
      <c r="K114" s="24">
        <f>IF(G114="","",IF(I114&lt;=0,"Paid",IF(TODAY()&gt;F114,"Overdue","Open")))</f>
        <v/>
      </c>
      <c r="L114" s="33">
        <f>IF(K114="Overdue",TODAY()-F114,"")</f>
        <v/>
      </c>
      <c r="M114" s="28" t="n"/>
    </row>
    <row r="115">
      <c r="A115" s="28" t="n"/>
      <c r="B115" s="28" t="n"/>
      <c r="C115" s="28" t="n"/>
      <c r="D115" s="27" t="n"/>
      <c r="E115" s="34" t="n"/>
      <c r="F115" s="35">
        <f>IF(D115="","",D115+IF(E115="",Setup!$B$10,E115))</f>
        <v/>
      </c>
      <c r="G115" s="29" t="n"/>
      <c r="H115" s="29" t="n"/>
      <c r="I115" s="26">
        <f>IF(G115="","",G115-N(H115))</f>
        <v/>
      </c>
      <c r="J115" s="27" t="n"/>
      <c r="K115" s="24">
        <f>IF(G115="","",IF(I115&lt;=0,"Paid",IF(TODAY()&gt;F115,"Overdue","Open")))</f>
        <v/>
      </c>
      <c r="L115" s="33">
        <f>IF(K115="Overdue",TODAY()-F115,"")</f>
        <v/>
      </c>
      <c r="M115" s="28" t="n"/>
    </row>
    <row r="116">
      <c r="A116" s="28" t="n"/>
      <c r="B116" s="28" t="n"/>
      <c r="C116" s="28" t="n"/>
      <c r="D116" s="27" t="n"/>
      <c r="E116" s="34" t="n"/>
      <c r="F116" s="35">
        <f>IF(D116="","",D116+IF(E116="",Setup!$B$10,E116))</f>
        <v/>
      </c>
      <c r="G116" s="29" t="n"/>
      <c r="H116" s="29" t="n"/>
      <c r="I116" s="26">
        <f>IF(G116="","",G116-N(H116))</f>
        <v/>
      </c>
      <c r="J116" s="27" t="n"/>
      <c r="K116" s="24">
        <f>IF(G116="","",IF(I116&lt;=0,"Paid",IF(TODAY()&gt;F116,"Overdue","Open")))</f>
        <v/>
      </c>
      <c r="L116" s="33">
        <f>IF(K116="Overdue",TODAY()-F116,"")</f>
        <v/>
      </c>
      <c r="M116" s="28" t="n"/>
    </row>
    <row r="117">
      <c r="A117" s="28" t="n"/>
      <c r="B117" s="28" t="n"/>
      <c r="C117" s="28" t="n"/>
      <c r="D117" s="27" t="n"/>
      <c r="E117" s="34" t="n"/>
      <c r="F117" s="35">
        <f>IF(D117="","",D117+IF(E117="",Setup!$B$10,E117))</f>
        <v/>
      </c>
      <c r="G117" s="29" t="n"/>
      <c r="H117" s="29" t="n"/>
      <c r="I117" s="26">
        <f>IF(G117="","",G117-N(H117))</f>
        <v/>
      </c>
      <c r="J117" s="27" t="n"/>
      <c r="K117" s="24">
        <f>IF(G117="","",IF(I117&lt;=0,"Paid",IF(TODAY()&gt;F117,"Overdue","Open")))</f>
        <v/>
      </c>
      <c r="L117" s="33">
        <f>IF(K117="Overdue",TODAY()-F117,"")</f>
        <v/>
      </c>
      <c r="M117" s="28" t="n"/>
    </row>
    <row r="118">
      <c r="A118" s="28" t="n"/>
      <c r="B118" s="28" t="n"/>
      <c r="C118" s="28" t="n"/>
      <c r="D118" s="27" t="n"/>
      <c r="E118" s="34" t="n"/>
      <c r="F118" s="35">
        <f>IF(D118="","",D118+IF(E118="",Setup!$B$10,E118))</f>
        <v/>
      </c>
      <c r="G118" s="29" t="n"/>
      <c r="H118" s="29" t="n"/>
      <c r="I118" s="26">
        <f>IF(G118="","",G118-N(H118))</f>
        <v/>
      </c>
      <c r="J118" s="27" t="n"/>
      <c r="K118" s="24">
        <f>IF(G118="","",IF(I118&lt;=0,"Paid",IF(TODAY()&gt;F118,"Overdue","Open")))</f>
        <v/>
      </c>
      <c r="L118" s="33">
        <f>IF(K118="Overdue",TODAY()-F118,"")</f>
        <v/>
      </c>
      <c r="M118" s="28" t="n"/>
    </row>
    <row r="119">
      <c r="A119" s="28" t="n"/>
      <c r="B119" s="28" t="n"/>
      <c r="C119" s="28" t="n"/>
      <c r="D119" s="27" t="n"/>
      <c r="E119" s="34" t="n"/>
      <c r="F119" s="35">
        <f>IF(D119="","",D119+IF(E119="",Setup!$B$10,E119))</f>
        <v/>
      </c>
      <c r="G119" s="29" t="n"/>
      <c r="H119" s="29" t="n"/>
      <c r="I119" s="26">
        <f>IF(G119="","",G119-N(H119))</f>
        <v/>
      </c>
      <c r="J119" s="27" t="n"/>
      <c r="K119" s="24">
        <f>IF(G119="","",IF(I119&lt;=0,"Paid",IF(TODAY()&gt;F119,"Overdue","Open")))</f>
        <v/>
      </c>
      <c r="L119" s="33">
        <f>IF(K119="Overdue",TODAY()-F119,"")</f>
        <v/>
      </c>
      <c r="M119" s="28" t="n"/>
    </row>
    <row r="120">
      <c r="A120" s="28" t="n"/>
      <c r="B120" s="28" t="n"/>
      <c r="C120" s="28" t="n"/>
      <c r="D120" s="27" t="n"/>
      <c r="E120" s="34" t="n"/>
      <c r="F120" s="35">
        <f>IF(D120="","",D120+IF(E120="",Setup!$B$10,E120))</f>
        <v/>
      </c>
      <c r="G120" s="29" t="n"/>
      <c r="H120" s="29" t="n"/>
      <c r="I120" s="26">
        <f>IF(G120="","",G120-N(H120))</f>
        <v/>
      </c>
      <c r="J120" s="27" t="n"/>
      <c r="K120" s="24">
        <f>IF(G120="","",IF(I120&lt;=0,"Paid",IF(TODAY()&gt;F120,"Overdue","Open")))</f>
        <v/>
      </c>
      <c r="L120" s="33">
        <f>IF(K120="Overdue",TODAY()-F120,"")</f>
        <v/>
      </c>
      <c r="M120" s="28" t="n"/>
    </row>
    <row r="121">
      <c r="A121" s="28" t="n"/>
      <c r="B121" s="28" t="n"/>
      <c r="C121" s="28" t="n"/>
      <c r="D121" s="27" t="n"/>
      <c r="E121" s="34" t="n"/>
      <c r="F121" s="35">
        <f>IF(D121="","",D121+IF(E121="",Setup!$B$10,E121))</f>
        <v/>
      </c>
      <c r="G121" s="29" t="n"/>
      <c r="H121" s="29" t="n"/>
      <c r="I121" s="26">
        <f>IF(G121="","",G121-N(H121))</f>
        <v/>
      </c>
      <c r="J121" s="27" t="n"/>
      <c r="K121" s="24">
        <f>IF(G121="","",IF(I121&lt;=0,"Paid",IF(TODAY()&gt;F121,"Overdue","Open")))</f>
        <v/>
      </c>
      <c r="L121" s="33">
        <f>IF(K121="Overdue",TODAY()-F121,"")</f>
        <v/>
      </c>
      <c r="M121" s="28" t="n"/>
    </row>
    <row r="122">
      <c r="A122" s="28" t="n"/>
      <c r="B122" s="28" t="n"/>
      <c r="C122" s="28" t="n"/>
      <c r="D122" s="27" t="n"/>
      <c r="E122" s="34" t="n"/>
      <c r="F122" s="35">
        <f>IF(D122="","",D122+IF(E122="",Setup!$B$10,E122))</f>
        <v/>
      </c>
      <c r="G122" s="29" t="n"/>
      <c r="H122" s="29" t="n"/>
      <c r="I122" s="26">
        <f>IF(G122="","",G122-N(H122))</f>
        <v/>
      </c>
      <c r="J122" s="27" t="n"/>
      <c r="K122" s="24">
        <f>IF(G122="","",IF(I122&lt;=0,"Paid",IF(TODAY()&gt;F122,"Overdue","Open")))</f>
        <v/>
      </c>
      <c r="L122" s="33">
        <f>IF(K122="Overdue",TODAY()-F122,"")</f>
        <v/>
      </c>
      <c r="M122" s="28" t="n"/>
    </row>
    <row r="123">
      <c r="A123" s="28" t="n"/>
      <c r="B123" s="28" t="n"/>
      <c r="C123" s="28" t="n"/>
      <c r="D123" s="27" t="n"/>
      <c r="E123" s="34" t="n"/>
      <c r="F123" s="35">
        <f>IF(D123="","",D123+IF(E123="",Setup!$B$10,E123))</f>
        <v/>
      </c>
      <c r="G123" s="29" t="n"/>
      <c r="H123" s="29" t="n"/>
      <c r="I123" s="26">
        <f>IF(G123="","",G123-N(H123))</f>
        <v/>
      </c>
      <c r="J123" s="27" t="n"/>
      <c r="K123" s="24">
        <f>IF(G123="","",IF(I123&lt;=0,"Paid",IF(TODAY()&gt;F123,"Overdue","Open")))</f>
        <v/>
      </c>
      <c r="L123" s="33">
        <f>IF(K123="Overdue",TODAY()-F123,"")</f>
        <v/>
      </c>
      <c r="M123" s="28" t="n"/>
    </row>
    <row r="124">
      <c r="A124" s="28" t="n"/>
      <c r="B124" s="28" t="n"/>
      <c r="C124" s="28" t="n"/>
      <c r="D124" s="27" t="n"/>
      <c r="E124" s="34" t="n"/>
      <c r="F124" s="35">
        <f>IF(D124="","",D124+IF(E124="",Setup!$B$10,E124))</f>
        <v/>
      </c>
      <c r="G124" s="29" t="n"/>
      <c r="H124" s="29" t="n"/>
      <c r="I124" s="26">
        <f>IF(G124="","",G124-N(H124))</f>
        <v/>
      </c>
      <c r="J124" s="27" t="n"/>
      <c r="K124" s="24">
        <f>IF(G124="","",IF(I124&lt;=0,"Paid",IF(TODAY()&gt;F124,"Overdue","Open")))</f>
        <v/>
      </c>
      <c r="L124" s="33">
        <f>IF(K124="Overdue",TODAY()-F124,"")</f>
        <v/>
      </c>
      <c r="M124" s="28" t="n"/>
    </row>
    <row r="125">
      <c r="A125" s="28" t="n"/>
      <c r="B125" s="28" t="n"/>
      <c r="C125" s="28" t="n"/>
      <c r="D125" s="27" t="n"/>
      <c r="E125" s="34" t="n"/>
      <c r="F125" s="35">
        <f>IF(D125="","",D125+IF(E125="",Setup!$B$10,E125))</f>
        <v/>
      </c>
      <c r="G125" s="29" t="n"/>
      <c r="H125" s="29" t="n"/>
      <c r="I125" s="26">
        <f>IF(G125="","",G125-N(H125))</f>
        <v/>
      </c>
      <c r="J125" s="27" t="n"/>
      <c r="K125" s="24">
        <f>IF(G125="","",IF(I125&lt;=0,"Paid",IF(TODAY()&gt;F125,"Overdue","Open")))</f>
        <v/>
      </c>
      <c r="L125" s="33">
        <f>IF(K125="Overdue",TODAY()-F125,"")</f>
        <v/>
      </c>
      <c r="M125" s="28" t="n"/>
    </row>
    <row r="126">
      <c r="A126" s="28" t="n"/>
      <c r="B126" s="28" t="n"/>
      <c r="C126" s="28" t="n"/>
      <c r="D126" s="27" t="n"/>
      <c r="E126" s="34" t="n"/>
      <c r="F126" s="35">
        <f>IF(D126="","",D126+IF(E126="",Setup!$B$10,E126))</f>
        <v/>
      </c>
      <c r="G126" s="29" t="n"/>
      <c r="H126" s="29" t="n"/>
      <c r="I126" s="26">
        <f>IF(G126="","",G126-N(H126))</f>
        <v/>
      </c>
      <c r="J126" s="27" t="n"/>
      <c r="K126" s="24">
        <f>IF(G126="","",IF(I126&lt;=0,"Paid",IF(TODAY()&gt;F126,"Overdue","Open")))</f>
        <v/>
      </c>
      <c r="L126" s="33">
        <f>IF(K126="Overdue",TODAY()-F126,"")</f>
        <v/>
      </c>
      <c r="M126" s="28" t="n"/>
    </row>
    <row r="127">
      <c r="A127" s="28" t="n"/>
      <c r="B127" s="28" t="n"/>
      <c r="C127" s="28" t="n"/>
      <c r="D127" s="27" t="n"/>
      <c r="E127" s="34" t="n"/>
      <c r="F127" s="35">
        <f>IF(D127="","",D127+IF(E127="",Setup!$B$10,E127))</f>
        <v/>
      </c>
      <c r="G127" s="29" t="n"/>
      <c r="H127" s="29" t="n"/>
      <c r="I127" s="26">
        <f>IF(G127="","",G127-N(H127))</f>
        <v/>
      </c>
      <c r="J127" s="27" t="n"/>
      <c r="K127" s="24">
        <f>IF(G127="","",IF(I127&lt;=0,"Paid",IF(TODAY()&gt;F127,"Overdue","Open")))</f>
        <v/>
      </c>
      <c r="L127" s="33">
        <f>IF(K127="Overdue",TODAY()-F127,"")</f>
        <v/>
      </c>
      <c r="M127" s="28" t="n"/>
    </row>
    <row r="128">
      <c r="A128" s="28" t="n"/>
      <c r="B128" s="28" t="n"/>
      <c r="C128" s="28" t="n"/>
      <c r="D128" s="27" t="n"/>
      <c r="E128" s="34" t="n"/>
      <c r="F128" s="35">
        <f>IF(D128="","",D128+IF(E128="",Setup!$B$10,E128))</f>
        <v/>
      </c>
      <c r="G128" s="29" t="n"/>
      <c r="H128" s="29" t="n"/>
      <c r="I128" s="26">
        <f>IF(G128="","",G128-N(H128))</f>
        <v/>
      </c>
      <c r="J128" s="27" t="n"/>
      <c r="K128" s="24">
        <f>IF(G128="","",IF(I128&lt;=0,"Paid",IF(TODAY()&gt;F128,"Overdue","Open")))</f>
        <v/>
      </c>
      <c r="L128" s="33">
        <f>IF(K128="Overdue",TODAY()-F128,"")</f>
        <v/>
      </c>
      <c r="M128" s="28" t="n"/>
    </row>
    <row r="129">
      <c r="A129" s="28" t="n"/>
      <c r="B129" s="28" t="n"/>
      <c r="C129" s="28" t="n"/>
      <c r="D129" s="27" t="n"/>
      <c r="E129" s="34" t="n"/>
      <c r="F129" s="35">
        <f>IF(D129="","",D129+IF(E129="",Setup!$B$10,E129))</f>
        <v/>
      </c>
      <c r="G129" s="29" t="n"/>
      <c r="H129" s="29" t="n"/>
      <c r="I129" s="26">
        <f>IF(G129="","",G129-N(H129))</f>
        <v/>
      </c>
      <c r="J129" s="27" t="n"/>
      <c r="K129" s="24">
        <f>IF(G129="","",IF(I129&lt;=0,"Paid",IF(TODAY()&gt;F129,"Overdue","Open")))</f>
        <v/>
      </c>
      <c r="L129" s="33">
        <f>IF(K129="Overdue",TODAY()-F129,"")</f>
        <v/>
      </c>
      <c r="M129" s="28" t="n"/>
    </row>
    <row r="130">
      <c r="A130" s="28" t="n"/>
      <c r="B130" s="28" t="n"/>
      <c r="C130" s="28" t="n"/>
      <c r="D130" s="27" t="n"/>
      <c r="E130" s="34" t="n"/>
      <c r="F130" s="35">
        <f>IF(D130="","",D130+IF(E130="",Setup!$B$10,E130))</f>
        <v/>
      </c>
      <c r="G130" s="29" t="n"/>
      <c r="H130" s="29" t="n"/>
      <c r="I130" s="26">
        <f>IF(G130="","",G130-N(H130))</f>
        <v/>
      </c>
      <c r="J130" s="27" t="n"/>
      <c r="K130" s="24">
        <f>IF(G130="","",IF(I130&lt;=0,"Paid",IF(TODAY()&gt;F130,"Overdue","Open")))</f>
        <v/>
      </c>
      <c r="L130" s="33">
        <f>IF(K130="Overdue",TODAY()-F130,"")</f>
        <v/>
      </c>
      <c r="M130" s="28" t="n"/>
    </row>
    <row r="131">
      <c r="A131" s="28" t="n"/>
      <c r="B131" s="28" t="n"/>
      <c r="C131" s="28" t="n"/>
      <c r="D131" s="27" t="n"/>
      <c r="E131" s="34" t="n"/>
      <c r="F131" s="35">
        <f>IF(D131="","",D131+IF(E131="",Setup!$B$10,E131))</f>
        <v/>
      </c>
      <c r="G131" s="29" t="n"/>
      <c r="H131" s="29" t="n"/>
      <c r="I131" s="26">
        <f>IF(G131="","",G131-N(H131))</f>
        <v/>
      </c>
      <c r="J131" s="27" t="n"/>
      <c r="K131" s="24">
        <f>IF(G131="","",IF(I131&lt;=0,"Paid",IF(TODAY()&gt;F131,"Overdue","Open")))</f>
        <v/>
      </c>
      <c r="L131" s="33">
        <f>IF(K131="Overdue",TODAY()-F131,"")</f>
        <v/>
      </c>
      <c r="M131" s="28" t="n"/>
    </row>
    <row r="132">
      <c r="A132" s="28" t="n"/>
      <c r="B132" s="28" t="n"/>
      <c r="C132" s="28" t="n"/>
      <c r="D132" s="27" t="n"/>
      <c r="E132" s="34" t="n"/>
      <c r="F132" s="35">
        <f>IF(D132="","",D132+IF(E132="",Setup!$B$10,E132))</f>
        <v/>
      </c>
      <c r="G132" s="29" t="n"/>
      <c r="H132" s="29" t="n"/>
      <c r="I132" s="26">
        <f>IF(G132="","",G132-N(H132))</f>
        <v/>
      </c>
      <c r="J132" s="27" t="n"/>
      <c r="K132" s="24">
        <f>IF(G132="","",IF(I132&lt;=0,"Paid",IF(TODAY()&gt;F132,"Overdue","Open")))</f>
        <v/>
      </c>
      <c r="L132" s="33">
        <f>IF(K132="Overdue",TODAY()-F132,"")</f>
        <v/>
      </c>
      <c r="M132" s="28" t="n"/>
    </row>
    <row r="133">
      <c r="A133" s="28" t="n"/>
      <c r="B133" s="28" t="n"/>
      <c r="C133" s="28" t="n"/>
      <c r="D133" s="27" t="n"/>
      <c r="E133" s="34" t="n"/>
      <c r="F133" s="35">
        <f>IF(D133="","",D133+IF(E133="",Setup!$B$10,E133))</f>
        <v/>
      </c>
      <c r="G133" s="29" t="n"/>
      <c r="H133" s="29" t="n"/>
      <c r="I133" s="26">
        <f>IF(G133="","",G133-N(H133))</f>
        <v/>
      </c>
      <c r="J133" s="27" t="n"/>
      <c r="K133" s="24">
        <f>IF(G133="","",IF(I133&lt;=0,"Paid",IF(TODAY()&gt;F133,"Overdue","Open")))</f>
        <v/>
      </c>
      <c r="L133" s="33">
        <f>IF(K133="Overdue",TODAY()-F133,"")</f>
        <v/>
      </c>
      <c r="M133" s="28" t="n"/>
    </row>
    <row r="134">
      <c r="A134" s="28" t="n"/>
      <c r="B134" s="28" t="n"/>
      <c r="C134" s="28" t="n"/>
      <c r="D134" s="27" t="n"/>
      <c r="E134" s="34" t="n"/>
      <c r="F134" s="35">
        <f>IF(D134="","",D134+IF(E134="",Setup!$B$10,E134))</f>
        <v/>
      </c>
      <c r="G134" s="29" t="n"/>
      <c r="H134" s="29" t="n"/>
      <c r="I134" s="26">
        <f>IF(G134="","",G134-N(H134))</f>
        <v/>
      </c>
      <c r="J134" s="27" t="n"/>
      <c r="K134" s="24">
        <f>IF(G134="","",IF(I134&lt;=0,"Paid",IF(TODAY()&gt;F134,"Overdue","Open")))</f>
        <v/>
      </c>
      <c r="L134" s="33">
        <f>IF(K134="Overdue",TODAY()-F134,"")</f>
        <v/>
      </c>
      <c r="M134" s="28" t="n"/>
    </row>
    <row r="135">
      <c r="A135" s="28" t="n"/>
      <c r="B135" s="28" t="n"/>
      <c r="C135" s="28" t="n"/>
      <c r="D135" s="27" t="n"/>
      <c r="E135" s="34" t="n"/>
      <c r="F135" s="35">
        <f>IF(D135="","",D135+IF(E135="",Setup!$B$10,E135))</f>
        <v/>
      </c>
      <c r="G135" s="29" t="n"/>
      <c r="H135" s="29" t="n"/>
      <c r="I135" s="26">
        <f>IF(G135="","",G135-N(H135))</f>
        <v/>
      </c>
      <c r="J135" s="27" t="n"/>
      <c r="K135" s="24">
        <f>IF(G135="","",IF(I135&lt;=0,"Paid",IF(TODAY()&gt;F135,"Overdue","Open")))</f>
        <v/>
      </c>
      <c r="L135" s="33">
        <f>IF(K135="Overdue",TODAY()-F135,"")</f>
        <v/>
      </c>
      <c r="M135" s="28" t="n"/>
    </row>
    <row r="136">
      <c r="A136" s="28" t="n"/>
      <c r="B136" s="28" t="n"/>
      <c r="C136" s="28" t="n"/>
      <c r="D136" s="27" t="n"/>
      <c r="E136" s="34" t="n"/>
      <c r="F136" s="35">
        <f>IF(D136="","",D136+IF(E136="",Setup!$B$10,E136))</f>
        <v/>
      </c>
      <c r="G136" s="29" t="n"/>
      <c r="H136" s="29" t="n"/>
      <c r="I136" s="26">
        <f>IF(G136="","",G136-N(H136))</f>
        <v/>
      </c>
      <c r="J136" s="27" t="n"/>
      <c r="K136" s="24">
        <f>IF(G136="","",IF(I136&lt;=0,"Paid",IF(TODAY()&gt;F136,"Overdue","Open")))</f>
        <v/>
      </c>
      <c r="L136" s="33">
        <f>IF(K136="Overdue",TODAY()-F136,"")</f>
        <v/>
      </c>
      <c r="M136" s="28" t="n"/>
    </row>
    <row r="137">
      <c r="A137" s="28" t="n"/>
      <c r="B137" s="28" t="n"/>
      <c r="C137" s="28" t="n"/>
      <c r="D137" s="27" t="n"/>
      <c r="E137" s="34" t="n"/>
      <c r="F137" s="35">
        <f>IF(D137="","",D137+IF(E137="",Setup!$B$10,E137))</f>
        <v/>
      </c>
      <c r="G137" s="29" t="n"/>
      <c r="H137" s="29" t="n"/>
      <c r="I137" s="26">
        <f>IF(G137="","",G137-N(H137))</f>
        <v/>
      </c>
      <c r="J137" s="27" t="n"/>
      <c r="K137" s="24">
        <f>IF(G137="","",IF(I137&lt;=0,"Paid",IF(TODAY()&gt;F137,"Overdue","Open")))</f>
        <v/>
      </c>
      <c r="L137" s="33">
        <f>IF(K137="Overdue",TODAY()-F137,"")</f>
        <v/>
      </c>
      <c r="M137" s="28" t="n"/>
    </row>
    <row r="138">
      <c r="A138" s="28" t="n"/>
      <c r="B138" s="28" t="n"/>
      <c r="C138" s="28" t="n"/>
      <c r="D138" s="27" t="n"/>
      <c r="E138" s="34" t="n"/>
      <c r="F138" s="35">
        <f>IF(D138="","",D138+IF(E138="",Setup!$B$10,E138))</f>
        <v/>
      </c>
      <c r="G138" s="29" t="n"/>
      <c r="H138" s="29" t="n"/>
      <c r="I138" s="26">
        <f>IF(G138="","",G138-N(H138))</f>
        <v/>
      </c>
      <c r="J138" s="27" t="n"/>
      <c r="K138" s="24">
        <f>IF(G138="","",IF(I138&lt;=0,"Paid",IF(TODAY()&gt;F138,"Overdue","Open")))</f>
        <v/>
      </c>
      <c r="L138" s="33">
        <f>IF(K138="Overdue",TODAY()-F138,"")</f>
        <v/>
      </c>
      <c r="M138" s="28" t="n"/>
    </row>
    <row r="139">
      <c r="A139" s="28" t="n"/>
      <c r="B139" s="28" t="n"/>
      <c r="C139" s="28" t="n"/>
      <c r="D139" s="27" t="n"/>
      <c r="E139" s="34" t="n"/>
      <c r="F139" s="35">
        <f>IF(D139="","",D139+IF(E139="",Setup!$B$10,E139))</f>
        <v/>
      </c>
      <c r="G139" s="29" t="n"/>
      <c r="H139" s="29" t="n"/>
      <c r="I139" s="26">
        <f>IF(G139="","",G139-N(H139))</f>
        <v/>
      </c>
      <c r="J139" s="27" t="n"/>
      <c r="K139" s="24">
        <f>IF(G139="","",IF(I139&lt;=0,"Paid",IF(TODAY()&gt;F139,"Overdue","Open")))</f>
        <v/>
      </c>
      <c r="L139" s="33">
        <f>IF(K139="Overdue",TODAY()-F139,"")</f>
        <v/>
      </c>
      <c r="M139" s="28" t="n"/>
    </row>
    <row r="140">
      <c r="A140" s="28" t="n"/>
      <c r="B140" s="28" t="n"/>
      <c r="C140" s="28" t="n"/>
      <c r="D140" s="27" t="n"/>
      <c r="E140" s="34" t="n"/>
      <c r="F140" s="35">
        <f>IF(D140="","",D140+IF(E140="",Setup!$B$10,E140))</f>
        <v/>
      </c>
      <c r="G140" s="29" t="n"/>
      <c r="H140" s="29" t="n"/>
      <c r="I140" s="26">
        <f>IF(G140="","",G140-N(H140))</f>
        <v/>
      </c>
      <c r="J140" s="27" t="n"/>
      <c r="K140" s="24">
        <f>IF(G140="","",IF(I140&lt;=0,"Paid",IF(TODAY()&gt;F140,"Overdue","Open")))</f>
        <v/>
      </c>
      <c r="L140" s="33">
        <f>IF(K140="Overdue",TODAY()-F140,"")</f>
        <v/>
      </c>
      <c r="M140" s="28" t="n"/>
    </row>
    <row r="141">
      <c r="A141" s="28" t="n"/>
      <c r="B141" s="28" t="n"/>
      <c r="C141" s="28" t="n"/>
      <c r="D141" s="27" t="n"/>
      <c r="E141" s="34" t="n"/>
      <c r="F141" s="35">
        <f>IF(D141="","",D141+IF(E141="",Setup!$B$10,E141))</f>
        <v/>
      </c>
      <c r="G141" s="29" t="n"/>
      <c r="H141" s="29" t="n"/>
      <c r="I141" s="26">
        <f>IF(G141="","",G141-N(H141))</f>
        <v/>
      </c>
      <c r="J141" s="27" t="n"/>
      <c r="K141" s="24">
        <f>IF(G141="","",IF(I141&lt;=0,"Paid",IF(TODAY()&gt;F141,"Overdue","Open")))</f>
        <v/>
      </c>
      <c r="L141" s="33">
        <f>IF(K141="Overdue",TODAY()-F141,"")</f>
        <v/>
      </c>
      <c r="M141" s="28" t="n"/>
    </row>
    <row r="142">
      <c r="A142" s="28" t="n"/>
      <c r="B142" s="28" t="n"/>
      <c r="C142" s="28" t="n"/>
      <c r="D142" s="27" t="n"/>
      <c r="E142" s="34" t="n"/>
      <c r="F142" s="35">
        <f>IF(D142="","",D142+IF(E142="",Setup!$B$10,E142))</f>
        <v/>
      </c>
      <c r="G142" s="29" t="n"/>
      <c r="H142" s="29" t="n"/>
      <c r="I142" s="26">
        <f>IF(G142="","",G142-N(H142))</f>
        <v/>
      </c>
      <c r="J142" s="27" t="n"/>
      <c r="K142" s="24">
        <f>IF(G142="","",IF(I142&lt;=0,"Paid",IF(TODAY()&gt;F142,"Overdue","Open")))</f>
        <v/>
      </c>
      <c r="L142" s="33">
        <f>IF(K142="Overdue",TODAY()-F142,"")</f>
        <v/>
      </c>
      <c r="M142" s="28" t="n"/>
    </row>
    <row r="143">
      <c r="A143" s="28" t="n"/>
      <c r="B143" s="28" t="n"/>
      <c r="C143" s="28" t="n"/>
      <c r="D143" s="27" t="n"/>
      <c r="E143" s="34" t="n"/>
      <c r="F143" s="35">
        <f>IF(D143="","",D143+IF(E143="",Setup!$B$10,E143))</f>
        <v/>
      </c>
      <c r="G143" s="29" t="n"/>
      <c r="H143" s="29" t="n"/>
      <c r="I143" s="26">
        <f>IF(G143="","",G143-N(H143))</f>
        <v/>
      </c>
      <c r="J143" s="27" t="n"/>
      <c r="K143" s="24">
        <f>IF(G143="","",IF(I143&lt;=0,"Paid",IF(TODAY()&gt;F143,"Overdue","Open")))</f>
        <v/>
      </c>
      <c r="L143" s="33">
        <f>IF(K143="Overdue",TODAY()-F143,"")</f>
        <v/>
      </c>
      <c r="M143" s="28" t="n"/>
    </row>
    <row r="144">
      <c r="A144" s="28" t="n"/>
      <c r="B144" s="28" t="n"/>
      <c r="C144" s="28" t="n"/>
      <c r="D144" s="27" t="n"/>
      <c r="E144" s="34" t="n"/>
      <c r="F144" s="35">
        <f>IF(D144="","",D144+IF(E144="",Setup!$B$10,E144))</f>
        <v/>
      </c>
      <c r="G144" s="29" t="n"/>
      <c r="H144" s="29" t="n"/>
      <c r="I144" s="26">
        <f>IF(G144="","",G144-N(H144))</f>
        <v/>
      </c>
      <c r="J144" s="27" t="n"/>
      <c r="K144" s="24">
        <f>IF(G144="","",IF(I144&lt;=0,"Paid",IF(TODAY()&gt;F144,"Overdue","Open")))</f>
        <v/>
      </c>
      <c r="L144" s="33">
        <f>IF(K144="Overdue",TODAY()-F144,"")</f>
        <v/>
      </c>
      <c r="M144" s="28" t="n"/>
    </row>
    <row r="145">
      <c r="A145" s="28" t="n"/>
      <c r="B145" s="28" t="n"/>
      <c r="C145" s="28" t="n"/>
      <c r="D145" s="27" t="n"/>
      <c r="E145" s="34" t="n"/>
      <c r="F145" s="35">
        <f>IF(D145="","",D145+IF(E145="",Setup!$B$10,E145))</f>
        <v/>
      </c>
      <c r="G145" s="29" t="n"/>
      <c r="H145" s="29" t="n"/>
      <c r="I145" s="26">
        <f>IF(G145="","",G145-N(H145))</f>
        <v/>
      </c>
      <c r="J145" s="27" t="n"/>
      <c r="K145" s="24">
        <f>IF(G145="","",IF(I145&lt;=0,"Paid",IF(TODAY()&gt;F145,"Overdue","Open")))</f>
        <v/>
      </c>
      <c r="L145" s="33">
        <f>IF(K145="Overdue",TODAY()-F145,"")</f>
        <v/>
      </c>
      <c r="M145" s="28" t="n"/>
    </row>
    <row r="146">
      <c r="A146" s="28" t="n"/>
      <c r="B146" s="28" t="n"/>
      <c r="C146" s="28" t="n"/>
      <c r="D146" s="27" t="n"/>
      <c r="E146" s="34" t="n"/>
      <c r="F146" s="35">
        <f>IF(D146="","",D146+IF(E146="",Setup!$B$10,E146))</f>
        <v/>
      </c>
      <c r="G146" s="29" t="n"/>
      <c r="H146" s="29" t="n"/>
      <c r="I146" s="26">
        <f>IF(G146="","",G146-N(H146))</f>
        <v/>
      </c>
      <c r="J146" s="27" t="n"/>
      <c r="K146" s="24">
        <f>IF(G146="","",IF(I146&lt;=0,"Paid",IF(TODAY()&gt;F146,"Overdue","Open")))</f>
        <v/>
      </c>
      <c r="L146" s="33">
        <f>IF(K146="Overdue",TODAY()-F146,"")</f>
        <v/>
      </c>
      <c r="M146" s="28" t="n"/>
    </row>
    <row r="147">
      <c r="A147" s="28" t="n"/>
      <c r="B147" s="28" t="n"/>
      <c r="C147" s="28" t="n"/>
      <c r="D147" s="27" t="n"/>
      <c r="E147" s="34" t="n"/>
      <c r="F147" s="35">
        <f>IF(D147="","",D147+IF(E147="",Setup!$B$10,E147))</f>
        <v/>
      </c>
      <c r="G147" s="29" t="n"/>
      <c r="H147" s="29" t="n"/>
      <c r="I147" s="26">
        <f>IF(G147="","",G147-N(H147))</f>
        <v/>
      </c>
      <c r="J147" s="27" t="n"/>
      <c r="K147" s="24">
        <f>IF(G147="","",IF(I147&lt;=0,"Paid",IF(TODAY()&gt;F147,"Overdue","Open")))</f>
        <v/>
      </c>
      <c r="L147" s="33">
        <f>IF(K147="Overdue",TODAY()-F147,"")</f>
        <v/>
      </c>
      <c r="M147" s="28" t="n"/>
    </row>
    <row r="148">
      <c r="A148" s="28" t="n"/>
      <c r="B148" s="28" t="n"/>
      <c r="C148" s="28" t="n"/>
      <c r="D148" s="27" t="n"/>
      <c r="E148" s="34" t="n"/>
      <c r="F148" s="35">
        <f>IF(D148="","",D148+IF(E148="",Setup!$B$10,E148))</f>
        <v/>
      </c>
      <c r="G148" s="29" t="n"/>
      <c r="H148" s="29" t="n"/>
      <c r="I148" s="26">
        <f>IF(G148="","",G148-N(H148))</f>
        <v/>
      </c>
      <c r="J148" s="27" t="n"/>
      <c r="K148" s="24">
        <f>IF(G148="","",IF(I148&lt;=0,"Paid",IF(TODAY()&gt;F148,"Overdue","Open")))</f>
        <v/>
      </c>
      <c r="L148" s="33">
        <f>IF(K148="Overdue",TODAY()-F148,"")</f>
        <v/>
      </c>
      <c r="M148" s="28" t="n"/>
    </row>
    <row r="149">
      <c r="A149" s="28" t="n"/>
      <c r="B149" s="28" t="n"/>
      <c r="C149" s="28" t="n"/>
      <c r="D149" s="27" t="n"/>
      <c r="E149" s="34" t="n"/>
      <c r="F149" s="35">
        <f>IF(D149="","",D149+IF(E149="",Setup!$B$10,E149))</f>
        <v/>
      </c>
      <c r="G149" s="29" t="n"/>
      <c r="H149" s="29" t="n"/>
      <c r="I149" s="26">
        <f>IF(G149="","",G149-N(H149))</f>
        <v/>
      </c>
      <c r="J149" s="27" t="n"/>
      <c r="K149" s="24">
        <f>IF(G149="","",IF(I149&lt;=0,"Paid",IF(TODAY()&gt;F149,"Overdue","Open")))</f>
        <v/>
      </c>
      <c r="L149" s="33">
        <f>IF(K149="Overdue",TODAY()-F149,"")</f>
        <v/>
      </c>
      <c r="M149" s="28" t="n"/>
    </row>
    <row r="150">
      <c r="A150" s="28" t="n"/>
      <c r="B150" s="28" t="n"/>
      <c r="C150" s="28" t="n"/>
      <c r="D150" s="27" t="n"/>
      <c r="E150" s="34" t="n"/>
      <c r="F150" s="35">
        <f>IF(D150="","",D150+IF(E150="",Setup!$B$10,E150))</f>
        <v/>
      </c>
      <c r="G150" s="29" t="n"/>
      <c r="H150" s="29" t="n"/>
      <c r="I150" s="26">
        <f>IF(G150="","",G150-N(H150))</f>
        <v/>
      </c>
      <c r="J150" s="27" t="n"/>
      <c r="K150" s="24">
        <f>IF(G150="","",IF(I150&lt;=0,"Paid",IF(TODAY()&gt;F150,"Overdue","Open")))</f>
        <v/>
      </c>
      <c r="L150" s="33">
        <f>IF(K150="Overdue",TODAY()-F150,"")</f>
        <v/>
      </c>
      <c r="M150" s="28" t="n"/>
    </row>
    <row r="151">
      <c r="A151" s="28" t="n"/>
      <c r="B151" s="28" t="n"/>
      <c r="C151" s="28" t="n"/>
      <c r="D151" s="27" t="n"/>
      <c r="E151" s="34" t="n"/>
      <c r="F151" s="35">
        <f>IF(D151="","",D151+IF(E151="",Setup!$B$10,E151))</f>
        <v/>
      </c>
      <c r="G151" s="29" t="n"/>
      <c r="H151" s="29" t="n"/>
      <c r="I151" s="26">
        <f>IF(G151="","",G151-N(H151))</f>
        <v/>
      </c>
      <c r="J151" s="27" t="n"/>
      <c r="K151" s="24">
        <f>IF(G151="","",IF(I151&lt;=0,"Paid",IF(TODAY()&gt;F151,"Overdue","Open")))</f>
        <v/>
      </c>
      <c r="L151" s="33">
        <f>IF(K151="Overdue",TODAY()-F151,"")</f>
        <v/>
      </c>
      <c r="M151" s="28" t="n"/>
    </row>
    <row r="152">
      <c r="A152" s="28" t="n"/>
      <c r="B152" s="28" t="n"/>
      <c r="C152" s="28" t="n"/>
      <c r="D152" s="27" t="n"/>
      <c r="E152" s="34" t="n"/>
      <c r="F152" s="35">
        <f>IF(D152="","",D152+IF(E152="",Setup!$B$10,E152))</f>
        <v/>
      </c>
      <c r="G152" s="29" t="n"/>
      <c r="H152" s="29" t="n"/>
      <c r="I152" s="26">
        <f>IF(G152="","",G152-N(H152))</f>
        <v/>
      </c>
      <c r="J152" s="27" t="n"/>
      <c r="K152" s="24">
        <f>IF(G152="","",IF(I152&lt;=0,"Paid",IF(TODAY()&gt;F152,"Overdue","Open")))</f>
        <v/>
      </c>
      <c r="L152" s="33">
        <f>IF(K152="Overdue",TODAY()-F152,"")</f>
        <v/>
      </c>
      <c r="M152" s="28" t="n"/>
    </row>
    <row r="153">
      <c r="A153" s="28" t="n"/>
      <c r="B153" s="28" t="n"/>
      <c r="C153" s="28" t="n"/>
      <c r="D153" s="27" t="n"/>
      <c r="E153" s="34" t="n"/>
      <c r="F153" s="35">
        <f>IF(D153="","",D153+IF(E153="",Setup!$B$10,E153))</f>
        <v/>
      </c>
      <c r="G153" s="29" t="n"/>
      <c r="H153" s="29" t="n"/>
      <c r="I153" s="26">
        <f>IF(G153="","",G153-N(H153))</f>
        <v/>
      </c>
      <c r="J153" s="27" t="n"/>
      <c r="K153" s="24">
        <f>IF(G153="","",IF(I153&lt;=0,"Paid",IF(TODAY()&gt;F153,"Overdue","Open")))</f>
        <v/>
      </c>
      <c r="L153" s="33">
        <f>IF(K153="Overdue",TODAY()-F153,"")</f>
        <v/>
      </c>
      <c r="M153" s="28" t="n"/>
    </row>
    <row r="154">
      <c r="A154" s="28" t="n"/>
      <c r="B154" s="28" t="n"/>
      <c r="C154" s="28" t="n"/>
      <c r="D154" s="27" t="n"/>
      <c r="E154" s="34" t="n"/>
      <c r="F154" s="35">
        <f>IF(D154="","",D154+IF(E154="",Setup!$B$10,E154))</f>
        <v/>
      </c>
      <c r="G154" s="29" t="n"/>
      <c r="H154" s="29" t="n"/>
      <c r="I154" s="26">
        <f>IF(G154="","",G154-N(H154))</f>
        <v/>
      </c>
      <c r="J154" s="27" t="n"/>
      <c r="K154" s="24">
        <f>IF(G154="","",IF(I154&lt;=0,"Paid",IF(TODAY()&gt;F154,"Overdue","Open")))</f>
        <v/>
      </c>
      <c r="L154" s="33">
        <f>IF(K154="Overdue",TODAY()-F154,"")</f>
        <v/>
      </c>
      <c r="M154" s="28" t="n"/>
    </row>
    <row r="155">
      <c r="A155" s="28" t="n"/>
      <c r="B155" s="28" t="n"/>
      <c r="C155" s="28" t="n"/>
      <c r="D155" s="27" t="n"/>
      <c r="E155" s="34" t="n"/>
      <c r="F155" s="35">
        <f>IF(D155="","",D155+IF(E155="",Setup!$B$10,E155))</f>
        <v/>
      </c>
      <c r="G155" s="29" t="n"/>
      <c r="H155" s="29" t="n"/>
      <c r="I155" s="26">
        <f>IF(G155="","",G155-N(H155))</f>
        <v/>
      </c>
      <c r="J155" s="27" t="n"/>
      <c r="K155" s="24">
        <f>IF(G155="","",IF(I155&lt;=0,"Paid",IF(TODAY()&gt;F155,"Overdue","Open")))</f>
        <v/>
      </c>
      <c r="L155" s="33">
        <f>IF(K155="Overdue",TODAY()-F155,"")</f>
        <v/>
      </c>
      <c r="M155" s="28" t="n"/>
    </row>
    <row r="156">
      <c r="A156" s="28" t="n"/>
      <c r="B156" s="28" t="n"/>
      <c r="C156" s="28" t="n"/>
      <c r="D156" s="27" t="n"/>
      <c r="E156" s="34" t="n"/>
      <c r="F156" s="35">
        <f>IF(D156="","",D156+IF(E156="",Setup!$B$10,E156))</f>
        <v/>
      </c>
      <c r="G156" s="29" t="n"/>
      <c r="H156" s="29" t="n"/>
      <c r="I156" s="26">
        <f>IF(G156="","",G156-N(H156))</f>
        <v/>
      </c>
      <c r="J156" s="27" t="n"/>
      <c r="K156" s="24">
        <f>IF(G156="","",IF(I156&lt;=0,"Paid",IF(TODAY()&gt;F156,"Overdue","Open")))</f>
        <v/>
      </c>
      <c r="L156" s="33">
        <f>IF(K156="Overdue",TODAY()-F156,"")</f>
        <v/>
      </c>
      <c r="M156" s="28" t="n"/>
    </row>
    <row r="157">
      <c r="A157" s="28" t="n"/>
      <c r="B157" s="28" t="n"/>
      <c r="C157" s="28" t="n"/>
      <c r="D157" s="27" t="n"/>
      <c r="E157" s="34" t="n"/>
      <c r="F157" s="35">
        <f>IF(D157="","",D157+IF(E157="",Setup!$B$10,E157))</f>
        <v/>
      </c>
      <c r="G157" s="29" t="n"/>
      <c r="H157" s="29" t="n"/>
      <c r="I157" s="26">
        <f>IF(G157="","",G157-N(H157))</f>
        <v/>
      </c>
      <c r="J157" s="27" t="n"/>
      <c r="K157" s="24">
        <f>IF(G157="","",IF(I157&lt;=0,"Paid",IF(TODAY()&gt;F157,"Overdue","Open")))</f>
        <v/>
      </c>
      <c r="L157" s="33">
        <f>IF(K157="Overdue",TODAY()-F157,"")</f>
        <v/>
      </c>
      <c r="M157" s="28" t="n"/>
    </row>
    <row r="158">
      <c r="A158" s="28" t="n"/>
      <c r="B158" s="28" t="n"/>
      <c r="C158" s="28" t="n"/>
      <c r="D158" s="27" t="n"/>
      <c r="E158" s="34" t="n"/>
      <c r="F158" s="35">
        <f>IF(D158="","",D158+IF(E158="",Setup!$B$10,E158))</f>
        <v/>
      </c>
      <c r="G158" s="29" t="n"/>
      <c r="H158" s="29" t="n"/>
      <c r="I158" s="26">
        <f>IF(G158="","",G158-N(H158))</f>
        <v/>
      </c>
      <c r="J158" s="27" t="n"/>
      <c r="K158" s="24">
        <f>IF(G158="","",IF(I158&lt;=0,"Paid",IF(TODAY()&gt;F158,"Overdue","Open")))</f>
        <v/>
      </c>
      <c r="L158" s="33">
        <f>IF(K158="Overdue",TODAY()-F158,"")</f>
        <v/>
      </c>
      <c r="M158" s="28" t="n"/>
    </row>
    <row r="159">
      <c r="A159" s="28" t="n"/>
      <c r="B159" s="28" t="n"/>
      <c r="C159" s="28" t="n"/>
      <c r="D159" s="27" t="n"/>
      <c r="E159" s="34" t="n"/>
      <c r="F159" s="35">
        <f>IF(D159="","",D159+IF(E159="",Setup!$B$10,E159))</f>
        <v/>
      </c>
      <c r="G159" s="29" t="n"/>
      <c r="H159" s="29" t="n"/>
      <c r="I159" s="26">
        <f>IF(G159="","",G159-N(H159))</f>
        <v/>
      </c>
      <c r="J159" s="27" t="n"/>
      <c r="K159" s="24">
        <f>IF(G159="","",IF(I159&lt;=0,"Paid",IF(TODAY()&gt;F159,"Overdue","Open")))</f>
        <v/>
      </c>
      <c r="L159" s="33">
        <f>IF(K159="Overdue",TODAY()-F159,"")</f>
        <v/>
      </c>
      <c r="M159" s="28" t="n"/>
    </row>
    <row r="160">
      <c r="A160" s="28" t="n"/>
      <c r="B160" s="28" t="n"/>
      <c r="C160" s="28" t="n"/>
      <c r="D160" s="27" t="n"/>
      <c r="E160" s="34" t="n"/>
      <c r="F160" s="35">
        <f>IF(D160="","",D160+IF(E160="",Setup!$B$10,E160))</f>
        <v/>
      </c>
      <c r="G160" s="29" t="n"/>
      <c r="H160" s="29" t="n"/>
      <c r="I160" s="26">
        <f>IF(G160="","",G160-N(H160))</f>
        <v/>
      </c>
      <c r="J160" s="27" t="n"/>
      <c r="K160" s="24">
        <f>IF(G160="","",IF(I160&lt;=0,"Paid",IF(TODAY()&gt;F160,"Overdue","Open")))</f>
        <v/>
      </c>
      <c r="L160" s="33">
        <f>IF(K160="Overdue",TODAY()-F160,"")</f>
        <v/>
      </c>
      <c r="M160" s="28" t="n"/>
    </row>
    <row r="161">
      <c r="A161" s="28" t="n"/>
      <c r="B161" s="28" t="n"/>
      <c r="C161" s="28" t="n"/>
      <c r="D161" s="27" t="n"/>
      <c r="E161" s="34" t="n"/>
      <c r="F161" s="35">
        <f>IF(D161="","",D161+IF(E161="",Setup!$B$10,E161))</f>
        <v/>
      </c>
      <c r="G161" s="29" t="n"/>
      <c r="H161" s="29" t="n"/>
      <c r="I161" s="26">
        <f>IF(G161="","",G161-N(H161))</f>
        <v/>
      </c>
      <c r="J161" s="27" t="n"/>
      <c r="K161" s="24">
        <f>IF(G161="","",IF(I161&lt;=0,"Paid",IF(TODAY()&gt;F161,"Overdue","Open")))</f>
        <v/>
      </c>
      <c r="L161" s="33">
        <f>IF(K161="Overdue",TODAY()-F161,"")</f>
        <v/>
      </c>
      <c r="M161" s="28" t="n"/>
    </row>
    <row r="162">
      <c r="A162" s="28" t="n"/>
      <c r="B162" s="28" t="n"/>
      <c r="C162" s="28" t="n"/>
      <c r="D162" s="27" t="n"/>
      <c r="E162" s="34" t="n"/>
      <c r="F162" s="35">
        <f>IF(D162="","",D162+IF(E162="",Setup!$B$10,E162))</f>
        <v/>
      </c>
      <c r="G162" s="29" t="n"/>
      <c r="H162" s="29" t="n"/>
      <c r="I162" s="26">
        <f>IF(G162="","",G162-N(H162))</f>
        <v/>
      </c>
      <c r="J162" s="27" t="n"/>
      <c r="K162" s="24">
        <f>IF(G162="","",IF(I162&lt;=0,"Paid",IF(TODAY()&gt;F162,"Overdue","Open")))</f>
        <v/>
      </c>
      <c r="L162" s="33">
        <f>IF(K162="Overdue",TODAY()-F162,"")</f>
        <v/>
      </c>
      <c r="M162" s="28" t="n"/>
    </row>
    <row r="163">
      <c r="A163" s="28" t="n"/>
      <c r="B163" s="28" t="n"/>
      <c r="C163" s="28" t="n"/>
      <c r="D163" s="27" t="n"/>
      <c r="E163" s="34" t="n"/>
      <c r="F163" s="35">
        <f>IF(D163="","",D163+IF(E163="",Setup!$B$10,E163))</f>
        <v/>
      </c>
      <c r="G163" s="29" t="n"/>
      <c r="H163" s="29" t="n"/>
      <c r="I163" s="26">
        <f>IF(G163="","",G163-N(H163))</f>
        <v/>
      </c>
      <c r="J163" s="27" t="n"/>
      <c r="K163" s="24">
        <f>IF(G163="","",IF(I163&lt;=0,"Paid",IF(TODAY()&gt;F163,"Overdue","Open")))</f>
        <v/>
      </c>
      <c r="L163" s="33">
        <f>IF(K163="Overdue",TODAY()-F163,"")</f>
        <v/>
      </c>
      <c r="M163" s="28" t="n"/>
    </row>
    <row r="164">
      <c r="A164" s="28" t="n"/>
      <c r="B164" s="28" t="n"/>
      <c r="C164" s="28" t="n"/>
      <c r="D164" s="27" t="n"/>
      <c r="E164" s="34" t="n"/>
      <c r="F164" s="35">
        <f>IF(D164="","",D164+IF(E164="",Setup!$B$10,E164))</f>
        <v/>
      </c>
      <c r="G164" s="29" t="n"/>
      <c r="H164" s="29" t="n"/>
      <c r="I164" s="26">
        <f>IF(G164="","",G164-N(H164))</f>
        <v/>
      </c>
      <c r="J164" s="27" t="n"/>
      <c r="K164" s="24">
        <f>IF(G164="","",IF(I164&lt;=0,"Paid",IF(TODAY()&gt;F164,"Overdue","Open")))</f>
        <v/>
      </c>
      <c r="L164" s="33">
        <f>IF(K164="Overdue",TODAY()-F164,"")</f>
        <v/>
      </c>
      <c r="M164" s="28" t="n"/>
    </row>
    <row r="165">
      <c r="A165" s="28" t="n"/>
      <c r="B165" s="28" t="n"/>
      <c r="C165" s="28" t="n"/>
      <c r="D165" s="27" t="n"/>
      <c r="E165" s="34" t="n"/>
      <c r="F165" s="35">
        <f>IF(D165="","",D165+IF(E165="",Setup!$B$10,E165))</f>
        <v/>
      </c>
      <c r="G165" s="29" t="n"/>
      <c r="H165" s="29" t="n"/>
      <c r="I165" s="26">
        <f>IF(G165="","",G165-N(H165))</f>
        <v/>
      </c>
      <c r="J165" s="27" t="n"/>
      <c r="K165" s="24">
        <f>IF(G165="","",IF(I165&lt;=0,"Paid",IF(TODAY()&gt;F165,"Overdue","Open")))</f>
        <v/>
      </c>
      <c r="L165" s="33">
        <f>IF(K165="Overdue",TODAY()-F165,"")</f>
        <v/>
      </c>
      <c r="M165" s="28" t="n"/>
    </row>
    <row r="166">
      <c r="A166" s="28" t="n"/>
      <c r="B166" s="28" t="n"/>
      <c r="C166" s="28" t="n"/>
      <c r="D166" s="27" t="n"/>
      <c r="E166" s="34" t="n"/>
      <c r="F166" s="35">
        <f>IF(D166="","",D166+IF(E166="",Setup!$B$10,E166))</f>
        <v/>
      </c>
      <c r="G166" s="29" t="n"/>
      <c r="H166" s="29" t="n"/>
      <c r="I166" s="26">
        <f>IF(G166="","",G166-N(H166))</f>
        <v/>
      </c>
      <c r="J166" s="27" t="n"/>
      <c r="K166" s="24">
        <f>IF(G166="","",IF(I166&lt;=0,"Paid",IF(TODAY()&gt;F166,"Overdue","Open")))</f>
        <v/>
      </c>
      <c r="L166" s="33">
        <f>IF(K166="Overdue",TODAY()-F166,"")</f>
        <v/>
      </c>
      <c r="M166" s="28" t="n"/>
    </row>
    <row r="167">
      <c r="A167" s="28" t="n"/>
      <c r="B167" s="28" t="n"/>
      <c r="C167" s="28" t="n"/>
      <c r="D167" s="27" t="n"/>
      <c r="E167" s="34" t="n"/>
      <c r="F167" s="35">
        <f>IF(D167="","",D167+IF(E167="",Setup!$B$10,E167))</f>
        <v/>
      </c>
      <c r="G167" s="29" t="n"/>
      <c r="H167" s="29" t="n"/>
      <c r="I167" s="26">
        <f>IF(G167="","",G167-N(H167))</f>
        <v/>
      </c>
      <c r="J167" s="27" t="n"/>
      <c r="K167" s="24">
        <f>IF(G167="","",IF(I167&lt;=0,"Paid",IF(TODAY()&gt;F167,"Overdue","Open")))</f>
        <v/>
      </c>
      <c r="L167" s="33">
        <f>IF(K167="Overdue",TODAY()-F167,"")</f>
        <v/>
      </c>
      <c r="M167" s="28" t="n"/>
    </row>
    <row r="168">
      <c r="A168" s="28" t="n"/>
      <c r="B168" s="28" t="n"/>
      <c r="C168" s="28" t="n"/>
      <c r="D168" s="27" t="n"/>
      <c r="E168" s="34" t="n"/>
      <c r="F168" s="35">
        <f>IF(D168="","",D168+IF(E168="",Setup!$B$10,E168))</f>
        <v/>
      </c>
      <c r="G168" s="29" t="n"/>
      <c r="H168" s="29" t="n"/>
      <c r="I168" s="26">
        <f>IF(G168="","",G168-N(H168))</f>
        <v/>
      </c>
      <c r="J168" s="27" t="n"/>
      <c r="K168" s="24">
        <f>IF(G168="","",IF(I168&lt;=0,"Paid",IF(TODAY()&gt;F168,"Overdue","Open")))</f>
        <v/>
      </c>
      <c r="L168" s="33">
        <f>IF(K168="Overdue",TODAY()-F168,"")</f>
        <v/>
      </c>
      <c r="M168" s="28" t="n"/>
    </row>
    <row r="169">
      <c r="A169" s="28" t="n"/>
      <c r="B169" s="28" t="n"/>
      <c r="C169" s="28" t="n"/>
      <c r="D169" s="27" t="n"/>
      <c r="E169" s="34" t="n"/>
      <c r="F169" s="35">
        <f>IF(D169="","",D169+IF(E169="",Setup!$B$10,E169))</f>
        <v/>
      </c>
      <c r="G169" s="29" t="n"/>
      <c r="H169" s="29" t="n"/>
      <c r="I169" s="26">
        <f>IF(G169="","",G169-N(H169))</f>
        <v/>
      </c>
      <c r="J169" s="27" t="n"/>
      <c r="K169" s="24">
        <f>IF(G169="","",IF(I169&lt;=0,"Paid",IF(TODAY()&gt;F169,"Overdue","Open")))</f>
        <v/>
      </c>
      <c r="L169" s="33">
        <f>IF(K169="Overdue",TODAY()-F169,"")</f>
        <v/>
      </c>
      <c r="M169" s="28" t="n"/>
    </row>
    <row r="170">
      <c r="A170" s="28" t="n"/>
      <c r="B170" s="28" t="n"/>
      <c r="C170" s="28" t="n"/>
      <c r="D170" s="27" t="n"/>
      <c r="E170" s="34" t="n"/>
      <c r="F170" s="35">
        <f>IF(D170="","",D170+IF(E170="",Setup!$B$10,E170))</f>
        <v/>
      </c>
      <c r="G170" s="29" t="n"/>
      <c r="H170" s="29" t="n"/>
      <c r="I170" s="26">
        <f>IF(G170="","",G170-N(H170))</f>
        <v/>
      </c>
      <c r="J170" s="27" t="n"/>
      <c r="K170" s="24">
        <f>IF(G170="","",IF(I170&lt;=0,"Paid",IF(TODAY()&gt;F170,"Overdue","Open")))</f>
        <v/>
      </c>
      <c r="L170" s="33">
        <f>IF(K170="Overdue",TODAY()-F170,"")</f>
        <v/>
      </c>
      <c r="M170" s="28" t="n"/>
    </row>
    <row r="171">
      <c r="A171" s="28" t="n"/>
      <c r="B171" s="28" t="n"/>
      <c r="C171" s="28" t="n"/>
      <c r="D171" s="27" t="n"/>
      <c r="E171" s="34" t="n"/>
      <c r="F171" s="35">
        <f>IF(D171="","",D171+IF(E171="",Setup!$B$10,E171))</f>
        <v/>
      </c>
      <c r="G171" s="29" t="n"/>
      <c r="H171" s="29" t="n"/>
      <c r="I171" s="26">
        <f>IF(G171="","",G171-N(H171))</f>
        <v/>
      </c>
      <c r="J171" s="27" t="n"/>
      <c r="K171" s="24">
        <f>IF(G171="","",IF(I171&lt;=0,"Paid",IF(TODAY()&gt;F171,"Overdue","Open")))</f>
        <v/>
      </c>
      <c r="L171" s="33">
        <f>IF(K171="Overdue",TODAY()-F171,"")</f>
        <v/>
      </c>
      <c r="M171" s="28" t="n"/>
    </row>
    <row r="172">
      <c r="A172" s="28" t="n"/>
      <c r="B172" s="28" t="n"/>
      <c r="C172" s="28" t="n"/>
      <c r="D172" s="27" t="n"/>
      <c r="E172" s="34" t="n"/>
      <c r="F172" s="35">
        <f>IF(D172="","",D172+IF(E172="",Setup!$B$10,E172))</f>
        <v/>
      </c>
      <c r="G172" s="29" t="n"/>
      <c r="H172" s="29" t="n"/>
      <c r="I172" s="26">
        <f>IF(G172="","",G172-N(H172))</f>
        <v/>
      </c>
      <c r="J172" s="27" t="n"/>
      <c r="K172" s="24">
        <f>IF(G172="","",IF(I172&lt;=0,"Paid",IF(TODAY()&gt;F172,"Overdue","Open")))</f>
        <v/>
      </c>
      <c r="L172" s="33">
        <f>IF(K172="Overdue",TODAY()-F172,"")</f>
        <v/>
      </c>
      <c r="M172" s="28" t="n"/>
    </row>
    <row r="173">
      <c r="A173" s="28" t="n"/>
      <c r="B173" s="28" t="n"/>
      <c r="C173" s="28" t="n"/>
      <c r="D173" s="27" t="n"/>
      <c r="E173" s="34" t="n"/>
      <c r="F173" s="35">
        <f>IF(D173="","",D173+IF(E173="",Setup!$B$10,E173))</f>
        <v/>
      </c>
      <c r="G173" s="29" t="n"/>
      <c r="H173" s="29" t="n"/>
      <c r="I173" s="26">
        <f>IF(G173="","",G173-N(H173))</f>
        <v/>
      </c>
      <c r="J173" s="27" t="n"/>
      <c r="K173" s="24">
        <f>IF(G173="","",IF(I173&lt;=0,"Paid",IF(TODAY()&gt;F173,"Overdue","Open")))</f>
        <v/>
      </c>
      <c r="L173" s="33">
        <f>IF(K173="Overdue",TODAY()-F173,"")</f>
        <v/>
      </c>
      <c r="M173" s="28" t="n"/>
    </row>
    <row r="174">
      <c r="A174" s="28" t="n"/>
      <c r="B174" s="28" t="n"/>
      <c r="C174" s="28" t="n"/>
      <c r="D174" s="27" t="n"/>
      <c r="E174" s="34" t="n"/>
      <c r="F174" s="35">
        <f>IF(D174="","",D174+IF(E174="",Setup!$B$10,E174))</f>
        <v/>
      </c>
      <c r="G174" s="29" t="n"/>
      <c r="H174" s="29" t="n"/>
      <c r="I174" s="26">
        <f>IF(G174="","",G174-N(H174))</f>
        <v/>
      </c>
      <c r="J174" s="27" t="n"/>
      <c r="K174" s="24">
        <f>IF(G174="","",IF(I174&lt;=0,"Paid",IF(TODAY()&gt;F174,"Overdue","Open")))</f>
        <v/>
      </c>
      <c r="L174" s="33">
        <f>IF(K174="Overdue",TODAY()-F174,"")</f>
        <v/>
      </c>
      <c r="M174" s="28" t="n"/>
    </row>
    <row r="175">
      <c r="A175" s="28" t="n"/>
      <c r="B175" s="28" t="n"/>
      <c r="C175" s="28" t="n"/>
      <c r="D175" s="27" t="n"/>
      <c r="E175" s="34" t="n"/>
      <c r="F175" s="35">
        <f>IF(D175="","",D175+IF(E175="",Setup!$B$10,E175))</f>
        <v/>
      </c>
      <c r="G175" s="29" t="n"/>
      <c r="H175" s="29" t="n"/>
      <c r="I175" s="26">
        <f>IF(G175="","",G175-N(H175))</f>
        <v/>
      </c>
      <c r="J175" s="27" t="n"/>
      <c r="K175" s="24">
        <f>IF(G175="","",IF(I175&lt;=0,"Paid",IF(TODAY()&gt;F175,"Overdue","Open")))</f>
        <v/>
      </c>
      <c r="L175" s="33">
        <f>IF(K175="Overdue",TODAY()-F175,"")</f>
        <v/>
      </c>
      <c r="M175" s="28" t="n"/>
    </row>
    <row r="176">
      <c r="A176" s="28" t="n"/>
      <c r="B176" s="28" t="n"/>
      <c r="C176" s="28" t="n"/>
      <c r="D176" s="27" t="n"/>
      <c r="E176" s="34" t="n"/>
      <c r="F176" s="35">
        <f>IF(D176="","",D176+IF(E176="",Setup!$B$10,E176))</f>
        <v/>
      </c>
      <c r="G176" s="29" t="n"/>
      <c r="H176" s="29" t="n"/>
      <c r="I176" s="26">
        <f>IF(G176="","",G176-N(H176))</f>
        <v/>
      </c>
      <c r="J176" s="27" t="n"/>
      <c r="K176" s="24">
        <f>IF(G176="","",IF(I176&lt;=0,"Paid",IF(TODAY()&gt;F176,"Overdue","Open")))</f>
        <v/>
      </c>
      <c r="L176" s="33">
        <f>IF(K176="Overdue",TODAY()-F176,"")</f>
        <v/>
      </c>
      <c r="M176" s="28" t="n"/>
    </row>
    <row r="177">
      <c r="A177" s="28" t="n"/>
      <c r="B177" s="28" t="n"/>
      <c r="C177" s="28" t="n"/>
      <c r="D177" s="27" t="n"/>
      <c r="E177" s="34" t="n"/>
      <c r="F177" s="35">
        <f>IF(D177="","",D177+IF(E177="",Setup!$B$10,E177))</f>
        <v/>
      </c>
      <c r="G177" s="29" t="n"/>
      <c r="H177" s="29" t="n"/>
      <c r="I177" s="26">
        <f>IF(G177="","",G177-N(H177))</f>
        <v/>
      </c>
      <c r="J177" s="27" t="n"/>
      <c r="K177" s="24">
        <f>IF(G177="","",IF(I177&lt;=0,"Paid",IF(TODAY()&gt;F177,"Overdue","Open")))</f>
        <v/>
      </c>
      <c r="L177" s="33">
        <f>IF(K177="Overdue",TODAY()-F177,"")</f>
        <v/>
      </c>
      <c r="M177" s="28" t="n"/>
    </row>
    <row r="178">
      <c r="A178" s="28" t="n"/>
      <c r="B178" s="28" t="n"/>
      <c r="C178" s="28" t="n"/>
      <c r="D178" s="27" t="n"/>
      <c r="E178" s="34" t="n"/>
      <c r="F178" s="35">
        <f>IF(D178="","",D178+IF(E178="",Setup!$B$10,E178))</f>
        <v/>
      </c>
      <c r="G178" s="29" t="n"/>
      <c r="H178" s="29" t="n"/>
      <c r="I178" s="26">
        <f>IF(G178="","",G178-N(H178))</f>
        <v/>
      </c>
      <c r="J178" s="27" t="n"/>
      <c r="K178" s="24">
        <f>IF(G178="","",IF(I178&lt;=0,"Paid",IF(TODAY()&gt;F178,"Overdue","Open")))</f>
        <v/>
      </c>
      <c r="L178" s="33">
        <f>IF(K178="Overdue",TODAY()-F178,"")</f>
        <v/>
      </c>
      <c r="M178" s="28" t="n"/>
    </row>
    <row r="179">
      <c r="A179" s="28" t="n"/>
      <c r="B179" s="28" t="n"/>
      <c r="C179" s="28" t="n"/>
      <c r="D179" s="27" t="n"/>
      <c r="E179" s="34" t="n"/>
      <c r="F179" s="35">
        <f>IF(D179="","",D179+IF(E179="",Setup!$B$10,E179))</f>
        <v/>
      </c>
      <c r="G179" s="29" t="n"/>
      <c r="H179" s="29" t="n"/>
      <c r="I179" s="26">
        <f>IF(G179="","",G179-N(H179))</f>
        <v/>
      </c>
      <c r="J179" s="27" t="n"/>
      <c r="K179" s="24">
        <f>IF(G179="","",IF(I179&lt;=0,"Paid",IF(TODAY()&gt;F179,"Overdue","Open")))</f>
        <v/>
      </c>
      <c r="L179" s="33">
        <f>IF(K179="Overdue",TODAY()-F179,"")</f>
        <v/>
      </c>
      <c r="M179" s="28" t="n"/>
    </row>
    <row r="180">
      <c r="A180" s="28" t="n"/>
      <c r="B180" s="28" t="n"/>
      <c r="C180" s="28" t="n"/>
      <c r="D180" s="27" t="n"/>
      <c r="E180" s="34" t="n"/>
      <c r="F180" s="35">
        <f>IF(D180="","",D180+IF(E180="",Setup!$B$10,E180))</f>
        <v/>
      </c>
      <c r="G180" s="29" t="n"/>
      <c r="H180" s="29" t="n"/>
      <c r="I180" s="26">
        <f>IF(G180="","",G180-N(H180))</f>
        <v/>
      </c>
      <c r="J180" s="27" t="n"/>
      <c r="K180" s="24">
        <f>IF(G180="","",IF(I180&lt;=0,"Paid",IF(TODAY()&gt;F180,"Overdue","Open")))</f>
        <v/>
      </c>
      <c r="L180" s="33">
        <f>IF(K180="Overdue",TODAY()-F180,"")</f>
        <v/>
      </c>
      <c r="M180" s="28" t="n"/>
    </row>
    <row r="181">
      <c r="A181" s="28" t="n"/>
      <c r="B181" s="28" t="n"/>
      <c r="C181" s="28" t="n"/>
      <c r="D181" s="27" t="n"/>
      <c r="E181" s="34" t="n"/>
      <c r="F181" s="35">
        <f>IF(D181="","",D181+IF(E181="",Setup!$B$10,E181))</f>
        <v/>
      </c>
      <c r="G181" s="29" t="n"/>
      <c r="H181" s="29" t="n"/>
      <c r="I181" s="26">
        <f>IF(G181="","",G181-N(H181))</f>
        <v/>
      </c>
      <c r="J181" s="27" t="n"/>
      <c r="K181" s="24">
        <f>IF(G181="","",IF(I181&lt;=0,"Paid",IF(TODAY()&gt;F181,"Overdue","Open")))</f>
        <v/>
      </c>
      <c r="L181" s="33">
        <f>IF(K181="Overdue",TODAY()-F181,"")</f>
        <v/>
      </c>
      <c r="M181" s="28" t="n"/>
    </row>
    <row r="182">
      <c r="A182" s="28" t="n"/>
      <c r="B182" s="28" t="n"/>
      <c r="C182" s="28" t="n"/>
      <c r="D182" s="27" t="n"/>
      <c r="E182" s="34" t="n"/>
      <c r="F182" s="35">
        <f>IF(D182="","",D182+IF(E182="",Setup!$B$10,E182))</f>
        <v/>
      </c>
      <c r="G182" s="29" t="n"/>
      <c r="H182" s="29" t="n"/>
      <c r="I182" s="26">
        <f>IF(G182="","",G182-N(H182))</f>
        <v/>
      </c>
      <c r="J182" s="27" t="n"/>
      <c r="K182" s="24">
        <f>IF(G182="","",IF(I182&lt;=0,"Paid",IF(TODAY()&gt;F182,"Overdue","Open")))</f>
        <v/>
      </c>
      <c r="L182" s="33">
        <f>IF(K182="Overdue",TODAY()-F182,"")</f>
        <v/>
      </c>
      <c r="M182" s="28" t="n"/>
    </row>
    <row r="183">
      <c r="A183" s="28" t="n"/>
      <c r="B183" s="28" t="n"/>
      <c r="C183" s="28" t="n"/>
      <c r="D183" s="27" t="n"/>
      <c r="E183" s="34" t="n"/>
      <c r="F183" s="35">
        <f>IF(D183="","",D183+IF(E183="",Setup!$B$10,E183))</f>
        <v/>
      </c>
      <c r="G183" s="29" t="n"/>
      <c r="H183" s="29" t="n"/>
      <c r="I183" s="26">
        <f>IF(G183="","",G183-N(H183))</f>
        <v/>
      </c>
      <c r="J183" s="27" t="n"/>
      <c r="K183" s="24">
        <f>IF(G183="","",IF(I183&lt;=0,"Paid",IF(TODAY()&gt;F183,"Overdue","Open")))</f>
        <v/>
      </c>
      <c r="L183" s="33">
        <f>IF(K183="Overdue",TODAY()-F183,"")</f>
        <v/>
      </c>
      <c r="M183" s="28" t="n"/>
    </row>
    <row r="184">
      <c r="A184" s="28" t="n"/>
      <c r="B184" s="28" t="n"/>
      <c r="C184" s="28" t="n"/>
      <c r="D184" s="27" t="n"/>
      <c r="E184" s="34" t="n"/>
      <c r="F184" s="35">
        <f>IF(D184="","",D184+IF(E184="",Setup!$B$10,E184))</f>
        <v/>
      </c>
      <c r="G184" s="29" t="n"/>
      <c r="H184" s="29" t="n"/>
      <c r="I184" s="26">
        <f>IF(G184="","",G184-N(H184))</f>
        <v/>
      </c>
      <c r="J184" s="27" t="n"/>
      <c r="K184" s="24">
        <f>IF(G184="","",IF(I184&lt;=0,"Paid",IF(TODAY()&gt;F184,"Overdue","Open")))</f>
        <v/>
      </c>
      <c r="L184" s="33">
        <f>IF(K184="Overdue",TODAY()-F184,"")</f>
        <v/>
      </c>
      <c r="M184" s="28" t="n"/>
    </row>
    <row r="185">
      <c r="A185" s="28" t="n"/>
      <c r="B185" s="28" t="n"/>
      <c r="C185" s="28" t="n"/>
      <c r="D185" s="27" t="n"/>
      <c r="E185" s="34" t="n"/>
      <c r="F185" s="35">
        <f>IF(D185="","",D185+IF(E185="",Setup!$B$10,E185))</f>
        <v/>
      </c>
      <c r="G185" s="29" t="n"/>
      <c r="H185" s="29" t="n"/>
      <c r="I185" s="26">
        <f>IF(G185="","",G185-N(H185))</f>
        <v/>
      </c>
      <c r="J185" s="27" t="n"/>
      <c r="K185" s="24">
        <f>IF(G185="","",IF(I185&lt;=0,"Paid",IF(TODAY()&gt;F185,"Overdue","Open")))</f>
        <v/>
      </c>
      <c r="L185" s="33">
        <f>IF(K185="Overdue",TODAY()-F185,"")</f>
        <v/>
      </c>
      <c r="M185" s="28" t="n"/>
    </row>
    <row r="186">
      <c r="A186" s="28" t="n"/>
      <c r="B186" s="28" t="n"/>
      <c r="C186" s="28" t="n"/>
      <c r="D186" s="27" t="n"/>
      <c r="E186" s="34" t="n"/>
      <c r="F186" s="35">
        <f>IF(D186="","",D186+IF(E186="",Setup!$B$10,E186))</f>
        <v/>
      </c>
      <c r="G186" s="29" t="n"/>
      <c r="H186" s="29" t="n"/>
      <c r="I186" s="26">
        <f>IF(G186="","",G186-N(H186))</f>
        <v/>
      </c>
      <c r="J186" s="27" t="n"/>
      <c r="K186" s="24">
        <f>IF(G186="","",IF(I186&lt;=0,"Paid",IF(TODAY()&gt;F186,"Overdue","Open")))</f>
        <v/>
      </c>
      <c r="L186" s="33">
        <f>IF(K186="Overdue",TODAY()-F186,"")</f>
        <v/>
      </c>
      <c r="M186" s="28" t="n"/>
    </row>
    <row r="187">
      <c r="A187" s="28" t="n"/>
      <c r="B187" s="28" t="n"/>
      <c r="C187" s="28" t="n"/>
      <c r="D187" s="27" t="n"/>
      <c r="E187" s="34" t="n"/>
      <c r="F187" s="35">
        <f>IF(D187="","",D187+IF(E187="",Setup!$B$10,E187))</f>
        <v/>
      </c>
      <c r="G187" s="29" t="n"/>
      <c r="H187" s="29" t="n"/>
      <c r="I187" s="26">
        <f>IF(G187="","",G187-N(H187))</f>
        <v/>
      </c>
      <c r="J187" s="27" t="n"/>
      <c r="K187" s="24">
        <f>IF(G187="","",IF(I187&lt;=0,"Paid",IF(TODAY()&gt;F187,"Overdue","Open")))</f>
        <v/>
      </c>
      <c r="L187" s="33">
        <f>IF(K187="Overdue",TODAY()-F187,"")</f>
        <v/>
      </c>
      <c r="M187" s="28" t="n"/>
    </row>
    <row r="188">
      <c r="A188" s="28" t="n"/>
      <c r="B188" s="28" t="n"/>
      <c r="C188" s="28" t="n"/>
      <c r="D188" s="27" t="n"/>
      <c r="E188" s="34" t="n"/>
      <c r="F188" s="35">
        <f>IF(D188="","",D188+IF(E188="",Setup!$B$10,E188))</f>
        <v/>
      </c>
      <c r="G188" s="29" t="n"/>
      <c r="H188" s="29" t="n"/>
      <c r="I188" s="26">
        <f>IF(G188="","",G188-N(H188))</f>
        <v/>
      </c>
      <c r="J188" s="27" t="n"/>
      <c r="K188" s="24">
        <f>IF(G188="","",IF(I188&lt;=0,"Paid",IF(TODAY()&gt;F188,"Overdue","Open")))</f>
        <v/>
      </c>
      <c r="L188" s="33">
        <f>IF(K188="Overdue",TODAY()-F188,"")</f>
        <v/>
      </c>
      <c r="M188" s="28" t="n"/>
    </row>
    <row r="189">
      <c r="A189" s="28" t="n"/>
      <c r="B189" s="28" t="n"/>
      <c r="C189" s="28" t="n"/>
      <c r="D189" s="27" t="n"/>
      <c r="E189" s="34" t="n"/>
      <c r="F189" s="35">
        <f>IF(D189="","",D189+IF(E189="",Setup!$B$10,E189))</f>
        <v/>
      </c>
      <c r="G189" s="29" t="n"/>
      <c r="H189" s="29" t="n"/>
      <c r="I189" s="26">
        <f>IF(G189="","",G189-N(H189))</f>
        <v/>
      </c>
      <c r="J189" s="27" t="n"/>
      <c r="K189" s="24">
        <f>IF(G189="","",IF(I189&lt;=0,"Paid",IF(TODAY()&gt;F189,"Overdue","Open")))</f>
        <v/>
      </c>
      <c r="L189" s="33">
        <f>IF(K189="Overdue",TODAY()-F189,"")</f>
        <v/>
      </c>
      <c r="M189" s="28" t="n"/>
    </row>
    <row r="190">
      <c r="A190" s="28" t="n"/>
      <c r="B190" s="28" t="n"/>
      <c r="C190" s="28" t="n"/>
      <c r="D190" s="27" t="n"/>
      <c r="E190" s="34" t="n"/>
      <c r="F190" s="35">
        <f>IF(D190="","",D190+IF(E190="",Setup!$B$10,E190))</f>
        <v/>
      </c>
      <c r="G190" s="29" t="n"/>
      <c r="H190" s="29" t="n"/>
      <c r="I190" s="26">
        <f>IF(G190="","",G190-N(H190))</f>
        <v/>
      </c>
      <c r="J190" s="27" t="n"/>
      <c r="K190" s="24">
        <f>IF(G190="","",IF(I190&lt;=0,"Paid",IF(TODAY()&gt;F190,"Overdue","Open")))</f>
        <v/>
      </c>
      <c r="L190" s="33">
        <f>IF(K190="Overdue",TODAY()-F190,"")</f>
        <v/>
      </c>
      <c r="M190" s="28" t="n"/>
    </row>
    <row r="191">
      <c r="A191" s="28" t="n"/>
      <c r="B191" s="28" t="n"/>
      <c r="C191" s="28" t="n"/>
      <c r="D191" s="27" t="n"/>
      <c r="E191" s="34" t="n"/>
      <c r="F191" s="35">
        <f>IF(D191="","",D191+IF(E191="",Setup!$B$10,E191))</f>
        <v/>
      </c>
      <c r="G191" s="29" t="n"/>
      <c r="H191" s="29" t="n"/>
      <c r="I191" s="26">
        <f>IF(G191="","",G191-N(H191))</f>
        <v/>
      </c>
      <c r="J191" s="27" t="n"/>
      <c r="K191" s="24">
        <f>IF(G191="","",IF(I191&lt;=0,"Paid",IF(TODAY()&gt;F191,"Overdue","Open")))</f>
        <v/>
      </c>
      <c r="L191" s="33">
        <f>IF(K191="Overdue",TODAY()-F191,"")</f>
        <v/>
      </c>
      <c r="M191" s="28" t="n"/>
    </row>
    <row r="192">
      <c r="A192" s="28" t="n"/>
      <c r="B192" s="28" t="n"/>
      <c r="C192" s="28" t="n"/>
      <c r="D192" s="27" t="n"/>
      <c r="E192" s="34" t="n"/>
      <c r="F192" s="35">
        <f>IF(D192="","",D192+IF(E192="",Setup!$B$10,E192))</f>
        <v/>
      </c>
      <c r="G192" s="29" t="n"/>
      <c r="H192" s="29" t="n"/>
      <c r="I192" s="26">
        <f>IF(G192="","",G192-N(H192))</f>
        <v/>
      </c>
      <c r="J192" s="27" t="n"/>
      <c r="K192" s="24">
        <f>IF(G192="","",IF(I192&lt;=0,"Paid",IF(TODAY()&gt;F192,"Overdue","Open")))</f>
        <v/>
      </c>
      <c r="L192" s="33">
        <f>IF(K192="Overdue",TODAY()-F192,"")</f>
        <v/>
      </c>
      <c r="M192" s="28" t="n"/>
    </row>
    <row r="193">
      <c r="A193" s="28" t="n"/>
      <c r="B193" s="28" t="n"/>
      <c r="C193" s="28" t="n"/>
      <c r="D193" s="27" t="n"/>
      <c r="E193" s="34" t="n"/>
      <c r="F193" s="35">
        <f>IF(D193="","",D193+IF(E193="",Setup!$B$10,E193))</f>
        <v/>
      </c>
      <c r="G193" s="29" t="n"/>
      <c r="H193" s="29" t="n"/>
      <c r="I193" s="26">
        <f>IF(G193="","",G193-N(H193))</f>
        <v/>
      </c>
      <c r="J193" s="27" t="n"/>
      <c r="K193" s="24">
        <f>IF(G193="","",IF(I193&lt;=0,"Paid",IF(TODAY()&gt;F193,"Overdue","Open")))</f>
        <v/>
      </c>
      <c r="L193" s="33">
        <f>IF(K193="Overdue",TODAY()-F193,"")</f>
        <v/>
      </c>
      <c r="M193" s="28" t="n"/>
    </row>
    <row r="194">
      <c r="A194" s="28" t="n"/>
      <c r="B194" s="28" t="n"/>
      <c r="C194" s="28" t="n"/>
      <c r="D194" s="27" t="n"/>
      <c r="E194" s="34" t="n"/>
      <c r="F194" s="35">
        <f>IF(D194="","",D194+IF(E194="",Setup!$B$10,E194))</f>
        <v/>
      </c>
      <c r="G194" s="29" t="n"/>
      <c r="H194" s="29" t="n"/>
      <c r="I194" s="26">
        <f>IF(G194="","",G194-N(H194))</f>
        <v/>
      </c>
      <c r="J194" s="27" t="n"/>
      <c r="K194" s="24">
        <f>IF(G194="","",IF(I194&lt;=0,"Paid",IF(TODAY()&gt;F194,"Overdue","Open")))</f>
        <v/>
      </c>
      <c r="L194" s="33">
        <f>IF(K194="Overdue",TODAY()-F194,"")</f>
        <v/>
      </c>
      <c r="M194" s="28" t="n"/>
    </row>
    <row r="195">
      <c r="A195" s="28" t="n"/>
      <c r="B195" s="28" t="n"/>
      <c r="C195" s="28" t="n"/>
      <c r="D195" s="27" t="n"/>
      <c r="E195" s="34" t="n"/>
      <c r="F195" s="35">
        <f>IF(D195="","",D195+IF(E195="",Setup!$B$10,E195))</f>
        <v/>
      </c>
      <c r="G195" s="29" t="n"/>
      <c r="H195" s="29" t="n"/>
      <c r="I195" s="26">
        <f>IF(G195="","",G195-N(H195))</f>
        <v/>
      </c>
      <c r="J195" s="27" t="n"/>
      <c r="K195" s="24">
        <f>IF(G195="","",IF(I195&lt;=0,"Paid",IF(TODAY()&gt;F195,"Overdue","Open")))</f>
        <v/>
      </c>
      <c r="L195" s="33">
        <f>IF(K195="Overdue",TODAY()-F195,"")</f>
        <v/>
      </c>
      <c r="M195" s="28" t="n"/>
    </row>
    <row r="196">
      <c r="A196" s="28" t="n"/>
      <c r="B196" s="28" t="n"/>
      <c r="C196" s="28" t="n"/>
      <c r="D196" s="27" t="n"/>
      <c r="E196" s="34" t="n"/>
      <c r="F196" s="35">
        <f>IF(D196="","",D196+IF(E196="",Setup!$B$10,E196))</f>
        <v/>
      </c>
      <c r="G196" s="29" t="n"/>
      <c r="H196" s="29" t="n"/>
      <c r="I196" s="26">
        <f>IF(G196="","",G196-N(H196))</f>
        <v/>
      </c>
      <c r="J196" s="27" t="n"/>
      <c r="K196" s="24">
        <f>IF(G196="","",IF(I196&lt;=0,"Paid",IF(TODAY()&gt;F196,"Overdue","Open")))</f>
        <v/>
      </c>
      <c r="L196" s="33">
        <f>IF(K196="Overdue",TODAY()-F196,"")</f>
        <v/>
      </c>
      <c r="M196" s="28" t="n"/>
    </row>
    <row r="197">
      <c r="A197" s="28" t="n"/>
      <c r="B197" s="28" t="n"/>
      <c r="C197" s="28" t="n"/>
      <c r="D197" s="27" t="n"/>
      <c r="E197" s="34" t="n"/>
      <c r="F197" s="35">
        <f>IF(D197="","",D197+IF(E197="",Setup!$B$10,E197))</f>
        <v/>
      </c>
      <c r="G197" s="29" t="n"/>
      <c r="H197" s="29" t="n"/>
      <c r="I197" s="26">
        <f>IF(G197="","",G197-N(H197))</f>
        <v/>
      </c>
      <c r="J197" s="27" t="n"/>
      <c r="K197" s="24">
        <f>IF(G197="","",IF(I197&lt;=0,"Paid",IF(TODAY()&gt;F197,"Overdue","Open")))</f>
        <v/>
      </c>
      <c r="L197" s="33">
        <f>IF(K197="Overdue",TODAY()-F197,"")</f>
        <v/>
      </c>
      <c r="M197" s="28" t="n"/>
    </row>
    <row r="198">
      <c r="A198" s="28" t="n"/>
      <c r="B198" s="28" t="n"/>
      <c r="C198" s="28" t="n"/>
      <c r="D198" s="27" t="n"/>
      <c r="E198" s="34" t="n"/>
      <c r="F198" s="35">
        <f>IF(D198="","",D198+IF(E198="",Setup!$B$10,E198))</f>
        <v/>
      </c>
      <c r="G198" s="29" t="n"/>
      <c r="H198" s="29" t="n"/>
      <c r="I198" s="26">
        <f>IF(G198="","",G198-N(H198))</f>
        <v/>
      </c>
      <c r="J198" s="27" t="n"/>
      <c r="K198" s="24">
        <f>IF(G198="","",IF(I198&lt;=0,"Paid",IF(TODAY()&gt;F198,"Overdue","Open")))</f>
        <v/>
      </c>
      <c r="L198" s="33">
        <f>IF(K198="Overdue",TODAY()-F198,"")</f>
        <v/>
      </c>
      <c r="M198" s="28" t="n"/>
    </row>
    <row r="199">
      <c r="A199" s="28" t="n"/>
      <c r="B199" s="28" t="n"/>
      <c r="C199" s="28" t="n"/>
      <c r="D199" s="27" t="n"/>
      <c r="E199" s="34" t="n"/>
      <c r="F199" s="35">
        <f>IF(D199="","",D199+IF(E199="",Setup!$B$10,E199))</f>
        <v/>
      </c>
      <c r="G199" s="29" t="n"/>
      <c r="H199" s="29" t="n"/>
      <c r="I199" s="26">
        <f>IF(G199="","",G199-N(H199))</f>
        <v/>
      </c>
      <c r="J199" s="27" t="n"/>
      <c r="K199" s="24">
        <f>IF(G199="","",IF(I199&lt;=0,"Paid",IF(TODAY()&gt;F199,"Overdue","Open")))</f>
        <v/>
      </c>
      <c r="L199" s="33">
        <f>IF(K199="Overdue",TODAY()-F199,"")</f>
        <v/>
      </c>
      <c r="M199" s="28" t="n"/>
    </row>
    <row r="200">
      <c r="A200" s="28" t="n"/>
      <c r="B200" s="28" t="n"/>
      <c r="C200" s="28" t="n"/>
      <c r="D200" s="27" t="n"/>
      <c r="E200" s="34" t="n"/>
      <c r="F200" s="35">
        <f>IF(D200="","",D200+IF(E200="",Setup!$B$10,E200))</f>
        <v/>
      </c>
      <c r="G200" s="29" t="n"/>
      <c r="H200" s="29" t="n"/>
      <c r="I200" s="26">
        <f>IF(G200="","",G200-N(H200))</f>
        <v/>
      </c>
      <c r="J200" s="27" t="n"/>
      <c r="K200" s="24">
        <f>IF(G200="","",IF(I200&lt;=0,"Paid",IF(TODAY()&gt;F200,"Overdue","Open")))</f>
        <v/>
      </c>
      <c r="L200" s="33">
        <f>IF(K200="Overdue",TODAY()-F200,"")</f>
        <v/>
      </c>
      <c r="M200" s="28" t="n"/>
    </row>
    <row r="201">
      <c r="A201" s="28" t="n"/>
      <c r="B201" s="28" t="n"/>
      <c r="C201" s="28" t="n"/>
      <c r="D201" s="27" t="n"/>
      <c r="E201" s="34" t="n"/>
      <c r="F201" s="35">
        <f>IF(D201="","",D201+IF(E201="",Setup!$B$10,E201))</f>
        <v/>
      </c>
      <c r="G201" s="29" t="n"/>
      <c r="H201" s="29" t="n"/>
      <c r="I201" s="26">
        <f>IF(G201="","",G201-N(H201))</f>
        <v/>
      </c>
      <c r="J201" s="27" t="n"/>
      <c r="K201" s="24">
        <f>IF(G201="","",IF(I201&lt;=0,"Paid",IF(TODAY()&gt;F201,"Overdue","Open")))</f>
        <v/>
      </c>
      <c r="L201" s="33">
        <f>IF(K201="Overdue",TODAY()-F201,"")</f>
        <v/>
      </c>
      <c r="M201" s="28" t="n"/>
    </row>
    <row r="202">
      <c r="A202" s="28" t="n"/>
      <c r="B202" s="28" t="n"/>
      <c r="C202" s="28" t="n"/>
      <c r="D202" s="27" t="n"/>
      <c r="E202" s="34" t="n"/>
      <c r="F202" s="35">
        <f>IF(D202="","",D202+IF(E202="",Setup!$B$10,E202))</f>
        <v/>
      </c>
      <c r="G202" s="29" t="n"/>
      <c r="H202" s="29" t="n"/>
      <c r="I202" s="26">
        <f>IF(G202="","",G202-N(H202))</f>
        <v/>
      </c>
      <c r="J202" s="27" t="n"/>
      <c r="K202" s="24">
        <f>IF(G202="","",IF(I202&lt;=0,"Paid",IF(TODAY()&gt;F202,"Overdue","Open")))</f>
        <v/>
      </c>
      <c r="L202" s="33">
        <f>IF(K202="Overdue",TODAY()-F202,"")</f>
        <v/>
      </c>
      <c r="M202" s="28" t="n"/>
    </row>
    <row r="203">
      <c r="A203" s="28" t="n"/>
      <c r="B203" s="28" t="n"/>
      <c r="C203" s="28" t="n"/>
      <c r="D203" s="27" t="n"/>
      <c r="E203" s="34" t="n"/>
      <c r="F203" s="35">
        <f>IF(D203="","",D203+IF(E203="",Setup!$B$10,E203))</f>
        <v/>
      </c>
      <c r="G203" s="29" t="n"/>
      <c r="H203" s="29" t="n"/>
      <c r="I203" s="26">
        <f>IF(G203="","",G203-N(H203))</f>
        <v/>
      </c>
      <c r="J203" s="27" t="n"/>
      <c r="K203" s="24">
        <f>IF(G203="","",IF(I203&lt;=0,"Paid",IF(TODAY()&gt;F203,"Overdue","Open")))</f>
        <v/>
      </c>
      <c r="L203" s="33">
        <f>IF(K203="Overdue",TODAY()-F203,"")</f>
        <v/>
      </c>
      <c r="M203" s="28" t="n"/>
    </row>
    <row r="204">
      <c r="A204" s="28" t="n"/>
      <c r="B204" s="28" t="n"/>
      <c r="C204" s="28" t="n"/>
      <c r="D204" s="27" t="n"/>
      <c r="E204" s="34" t="n"/>
      <c r="F204" s="35">
        <f>IF(D204="","",D204+IF(E204="",Setup!$B$10,E204))</f>
        <v/>
      </c>
      <c r="G204" s="29" t="n"/>
      <c r="H204" s="29" t="n"/>
      <c r="I204" s="26">
        <f>IF(G204="","",G204-N(H204))</f>
        <v/>
      </c>
      <c r="J204" s="27" t="n"/>
      <c r="K204" s="24">
        <f>IF(G204="","",IF(I204&lt;=0,"Paid",IF(TODAY()&gt;F204,"Overdue","Open")))</f>
        <v/>
      </c>
      <c r="L204" s="33">
        <f>IF(K204="Overdue",TODAY()-F204,"")</f>
        <v/>
      </c>
      <c r="M204" s="28" t="n"/>
    </row>
    <row r="205">
      <c r="A205" s="28" t="n"/>
      <c r="B205" s="28" t="n"/>
      <c r="C205" s="28" t="n"/>
      <c r="D205" s="27" t="n"/>
      <c r="E205" s="34" t="n"/>
      <c r="F205" s="35">
        <f>IF(D205="","",D205+IF(E205="",Setup!$B$10,E205))</f>
        <v/>
      </c>
      <c r="G205" s="29" t="n"/>
      <c r="H205" s="29" t="n"/>
      <c r="I205" s="26">
        <f>IF(G205="","",G205-N(H205))</f>
        <v/>
      </c>
      <c r="J205" s="27" t="n"/>
      <c r="K205" s="24">
        <f>IF(G205="","",IF(I205&lt;=0,"Paid",IF(TODAY()&gt;F205,"Overdue","Open")))</f>
        <v/>
      </c>
      <c r="L205" s="33">
        <f>IF(K205="Overdue",TODAY()-F205,"")</f>
        <v/>
      </c>
      <c r="M205" s="28" t="n"/>
    </row>
    <row r="206">
      <c r="A206" s="28" t="n"/>
      <c r="B206" s="28" t="n"/>
      <c r="C206" s="28" t="n"/>
      <c r="D206" s="27" t="n"/>
      <c r="E206" s="34" t="n"/>
      <c r="F206" s="35">
        <f>IF(D206="","",D206+IF(E206="",Setup!$B$10,E206))</f>
        <v/>
      </c>
      <c r="G206" s="29" t="n"/>
      <c r="H206" s="29" t="n"/>
      <c r="I206" s="26">
        <f>IF(G206="","",G206-N(H206))</f>
        <v/>
      </c>
      <c r="J206" s="27" t="n"/>
      <c r="K206" s="24">
        <f>IF(G206="","",IF(I206&lt;=0,"Paid",IF(TODAY()&gt;F206,"Overdue","Open")))</f>
        <v/>
      </c>
      <c r="L206" s="33">
        <f>IF(K206="Overdue",TODAY()-F206,"")</f>
        <v/>
      </c>
      <c r="M206" s="28" t="n"/>
    </row>
    <row r="207">
      <c r="A207" s="28" t="n"/>
      <c r="B207" s="28" t="n"/>
      <c r="C207" s="28" t="n"/>
      <c r="D207" s="27" t="n"/>
      <c r="E207" s="34" t="n"/>
      <c r="F207" s="35">
        <f>IF(D207="","",D207+IF(E207="",Setup!$B$10,E207))</f>
        <v/>
      </c>
      <c r="G207" s="29" t="n"/>
      <c r="H207" s="29" t="n"/>
      <c r="I207" s="26">
        <f>IF(G207="","",G207-N(H207))</f>
        <v/>
      </c>
      <c r="J207" s="27" t="n"/>
      <c r="K207" s="24">
        <f>IF(G207="","",IF(I207&lt;=0,"Paid",IF(TODAY()&gt;F207,"Overdue","Open")))</f>
        <v/>
      </c>
      <c r="L207" s="33">
        <f>IF(K207="Overdue",TODAY()-F207,"")</f>
        <v/>
      </c>
      <c r="M207" s="28" t="n"/>
    </row>
    <row r="208">
      <c r="A208" s="28" t="n"/>
      <c r="B208" s="28" t="n"/>
      <c r="C208" s="28" t="n"/>
      <c r="D208" s="27" t="n"/>
      <c r="E208" s="34" t="n"/>
      <c r="F208" s="35">
        <f>IF(D208="","",D208+IF(E208="",Setup!$B$10,E208))</f>
        <v/>
      </c>
      <c r="G208" s="29" t="n"/>
      <c r="H208" s="29" t="n"/>
      <c r="I208" s="26">
        <f>IF(G208="","",G208-N(H208))</f>
        <v/>
      </c>
      <c r="J208" s="27" t="n"/>
      <c r="K208" s="24">
        <f>IF(G208="","",IF(I208&lt;=0,"Paid",IF(TODAY()&gt;F208,"Overdue","Open")))</f>
        <v/>
      </c>
      <c r="L208" s="33">
        <f>IF(K208="Overdue",TODAY()-F208,"")</f>
        <v/>
      </c>
      <c r="M208" s="28" t="n"/>
    </row>
    <row r="209">
      <c r="A209" s="28" t="n"/>
      <c r="B209" s="28" t="n"/>
      <c r="C209" s="28" t="n"/>
      <c r="D209" s="27" t="n"/>
      <c r="E209" s="34" t="n"/>
      <c r="F209" s="35">
        <f>IF(D209="","",D209+IF(E209="",Setup!$B$10,E209))</f>
        <v/>
      </c>
      <c r="G209" s="29" t="n"/>
      <c r="H209" s="29" t="n"/>
      <c r="I209" s="26">
        <f>IF(G209="","",G209-N(H209))</f>
        <v/>
      </c>
      <c r="J209" s="27" t="n"/>
      <c r="K209" s="24">
        <f>IF(G209="","",IF(I209&lt;=0,"Paid",IF(TODAY()&gt;F209,"Overdue","Open")))</f>
        <v/>
      </c>
      <c r="L209" s="33">
        <f>IF(K209="Overdue",TODAY()-F209,"")</f>
        <v/>
      </c>
      <c r="M209" s="28" t="n"/>
    </row>
    <row r="210">
      <c r="A210" s="28" t="n"/>
      <c r="B210" s="28" t="n"/>
      <c r="C210" s="28" t="n"/>
      <c r="D210" s="27" t="n"/>
      <c r="E210" s="34" t="n"/>
      <c r="F210" s="35">
        <f>IF(D210="","",D210+IF(E210="",Setup!$B$10,E210))</f>
        <v/>
      </c>
      <c r="G210" s="29" t="n"/>
      <c r="H210" s="29" t="n"/>
      <c r="I210" s="26">
        <f>IF(G210="","",G210-N(H210))</f>
        <v/>
      </c>
      <c r="J210" s="27" t="n"/>
      <c r="K210" s="24">
        <f>IF(G210="","",IF(I210&lt;=0,"Paid",IF(TODAY()&gt;F210,"Overdue","Open")))</f>
        <v/>
      </c>
      <c r="L210" s="33">
        <f>IF(K210="Overdue",TODAY()-F210,"")</f>
        <v/>
      </c>
      <c r="M210" s="28" t="n"/>
    </row>
    <row r="211">
      <c r="A211" s="28" t="n"/>
      <c r="B211" s="28" t="n"/>
      <c r="C211" s="28" t="n"/>
      <c r="D211" s="27" t="n"/>
      <c r="E211" s="34" t="n"/>
      <c r="F211" s="35">
        <f>IF(D211="","",D211+IF(E211="",Setup!$B$10,E211))</f>
        <v/>
      </c>
      <c r="G211" s="29" t="n"/>
      <c r="H211" s="29" t="n"/>
      <c r="I211" s="26">
        <f>IF(G211="","",G211-N(H211))</f>
        <v/>
      </c>
      <c r="J211" s="27" t="n"/>
      <c r="K211" s="24">
        <f>IF(G211="","",IF(I211&lt;=0,"Paid",IF(TODAY()&gt;F211,"Overdue","Open")))</f>
        <v/>
      </c>
      <c r="L211" s="33">
        <f>IF(K211="Overdue",TODAY()-F211,"")</f>
        <v/>
      </c>
      <c r="M211" s="28" t="n"/>
    </row>
    <row r="212">
      <c r="A212" s="28" t="n"/>
      <c r="B212" s="28" t="n"/>
      <c r="C212" s="28" t="n"/>
      <c r="D212" s="27" t="n"/>
      <c r="E212" s="34" t="n"/>
      <c r="F212" s="35">
        <f>IF(D212="","",D212+IF(E212="",Setup!$B$10,E212))</f>
        <v/>
      </c>
      <c r="G212" s="29" t="n"/>
      <c r="H212" s="29" t="n"/>
      <c r="I212" s="26">
        <f>IF(G212="","",G212-N(H212))</f>
        <v/>
      </c>
      <c r="J212" s="27" t="n"/>
      <c r="K212" s="24">
        <f>IF(G212="","",IF(I212&lt;=0,"Paid",IF(TODAY()&gt;F212,"Overdue","Open")))</f>
        <v/>
      </c>
      <c r="L212" s="33">
        <f>IF(K212="Overdue",TODAY()-F212,"")</f>
        <v/>
      </c>
      <c r="M212" s="28" t="n"/>
    </row>
    <row r="213">
      <c r="A213" s="28" t="n"/>
      <c r="B213" s="28" t="n"/>
      <c r="C213" s="28" t="n"/>
      <c r="D213" s="27" t="n"/>
      <c r="E213" s="34" t="n"/>
      <c r="F213" s="35">
        <f>IF(D213="","",D213+IF(E213="",Setup!$B$10,E213))</f>
        <v/>
      </c>
      <c r="G213" s="29" t="n"/>
      <c r="H213" s="29" t="n"/>
      <c r="I213" s="26">
        <f>IF(G213="","",G213-N(H213))</f>
        <v/>
      </c>
      <c r="J213" s="27" t="n"/>
      <c r="K213" s="24">
        <f>IF(G213="","",IF(I213&lt;=0,"Paid",IF(TODAY()&gt;F213,"Overdue","Open")))</f>
        <v/>
      </c>
      <c r="L213" s="33">
        <f>IF(K213="Overdue",TODAY()-F213,"")</f>
        <v/>
      </c>
      <c r="M213" s="28" t="n"/>
    </row>
    <row r="214">
      <c r="A214" s="28" t="n"/>
      <c r="B214" s="28" t="n"/>
      <c r="C214" s="28" t="n"/>
      <c r="D214" s="27" t="n"/>
      <c r="E214" s="34" t="n"/>
      <c r="F214" s="35">
        <f>IF(D214="","",D214+IF(E214="",Setup!$B$10,E214))</f>
        <v/>
      </c>
      <c r="G214" s="29" t="n"/>
      <c r="H214" s="29" t="n"/>
      <c r="I214" s="26">
        <f>IF(G214="","",G214-N(H214))</f>
        <v/>
      </c>
      <c r="J214" s="27" t="n"/>
      <c r="K214" s="24">
        <f>IF(G214="","",IF(I214&lt;=0,"Paid",IF(TODAY()&gt;F214,"Overdue","Open")))</f>
        <v/>
      </c>
      <c r="L214" s="33">
        <f>IF(K214="Overdue",TODAY()-F214,"")</f>
        <v/>
      </c>
      <c r="M214" s="28" t="n"/>
    </row>
    <row r="215">
      <c r="A215" s="28" t="n"/>
      <c r="B215" s="28" t="n"/>
      <c r="C215" s="28" t="n"/>
      <c r="D215" s="27" t="n"/>
      <c r="E215" s="34" t="n"/>
      <c r="F215" s="35">
        <f>IF(D215="","",D215+IF(E215="",Setup!$B$10,E215))</f>
        <v/>
      </c>
      <c r="G215" s="29" t="n"/>
      <c r="H215" s="29" t="n"/>
      <c r="I215" s="26">
        <f>IF(G215="","",G215-N(H215))</f>
        <v/>
      </c>
      <c r="J215" s="27" t="n"/>
      <c r="K215" s="24">
        <f>IF(G215="","",IF(I215&lt;=0,"Paid",IF(TODAY()&gt;F215,"Overdue","Open")))</f>
        <v/>
      </c>
      <c r="L215" s="33">
        <f>IF(K215="Overdue",TODAY()-F215,"")</f>
        <v/>
      </c>
      <c r="M215" s="28" t="n"/>
    </row>
    <row r="216">
      <c r="A216" s="28" t="n"/>
      <c r="B216" s="28" t="n"/>
      <c r="C216" s="28" t="n"/>
      <c r="D216" s="27" t="n"/>
      <c r="E216" s="34" t="n"/>
      <c r="F216" s="35">
        <f>IF(D216="","",D216+IF(E216="",Setup!$B$10,E216))</f>
        <v/>
      </c>
      <c r="G216" s="29" t="n"/>
      <c r="H216" s="29" t="n"/>
      <c r="I216" s="26">
        <f>IF(G216="","",G216-N(H216))</f>
        <v/>
      </c>
      <c r="J216" s="27" t="n"/>
      <c r="K216" s="24">
        <f>IF(G216="","",IF(I216&lt;=0,"Paid",IF(TODAY()&gt;F216,"Overdue","Open")))</f>
        <v/>
      </c>
      <c r="L216" s="33">
        <f>IF(K216="Overdue",TODAY()-F216,"")</f>
        <v/>
      </c>
      <c r="M216" s="28" t="n"/>
    </row>
    <row r="217">
      <c r="A217" s="28" t="n"/>
      <c r="B217" s="28" t="n"/>
      <c r="C217" s="28" t="n"/>
      <c r="D217" s="27" t="n"/>
      <c r="E217" s="34" t="n"/>
      <c r="F217" s="35">
        <f>IF(D217="","",D217+IF(E217="",Setup!$B$10,E217))</f>
        <v/>
      </c>
      <c r="G217" s="29" t="n"/>
      <c r="H217" s="29" t="n"/>
      <c r="I217" s="26">
        <f>IF(G217="","",G217-N(H217))</f>
        <v/>
      </c>
      <c r="J217" s="27" t="n"/>
      <c r="K217" s="24">
        <f>IF(G217="","",IF(I217&lt;=0,"Paid",IF(TODAY()&gt;F217,"Overdue","Open")))</f>
        <v/>
      </c>
      <c r="L217" s="33">
        <f>IF(K217="Overdue",TODAY()-F217,"")</f>
        <v/>
      </c>
      <c r="M217" s="28" t="n"/>
    </row>
    <row r="218">
      <c r="A218" s="28" t="n"/>
      <c r="B218" s="28" t="n"/>
      <c r="C218" s="28" t="n"/>
      <c r="D218" s="27" t="n"/>
      <c r="E218" s="34" t="n"/>
      <c r="F218" s="35">
        <f>IF(D218="","",D218+IF(E218="",Setup!$B$10,E218))</f>
        <v/>
      </c>
      <c r="G218" s="29" t="n"/>
      <c r="H218" s="29" t="n"/>
      <c r="I218" s="26">
        <f>IF(G218="","",G218-N(H218))</f>
        <v/>
      </c>
      <c r="J218" s="27" t="n"/>
      <c r="K218" s="24">
        <f>IF(G218="","",IF(I218&lt;=0,"Paid",IF(TODAY()&gt;F218,"Overdue","Open")))</f>
        <v/>
      </c>
      <c r="L218" s="33">
        <f>IF(K218="Overdue",TODAY()-F218,"")</f>
        <v/>
      </c>
      <c r="M218" s="28" t="n"/>
    </row>
    <row r="219">
      <c r="A219" s="28" t="n"/>
      <c r="B219" s="28" t="n"/>
      <c r="C219" s="28" t="n"/>
      <c r="D219" s="27" t="n"/>
      <c r="E219" s="34" t="n"/>
      <c r="F219" s="35">
        <f>IF(D219="","",D219+IF(E219="",Setup!$B$10,E219))</f>
        <v/>
      </c>
      <c r="G219" s="29" t="n"/>
      <c r="H219" s="29" t="n"/>
      <c r="I219" s="26">
        <f>IF(G219="","",G219-N(H219))</f>
        <v/>
      </c>
      <c r="J219" s="27" t="n"/>
      <c r="K219" s="24">
        <f>IF(G219="","",IF(I219&lt;=0,"Paid",IF(TODAY()&gt;F219,"Overdue","Open")))</f>
        <v/>
      </c>
      <c r="L219" s="33">
        <f>IF(K219="Overdue",TODAY()-F219,"")</f>
        <v/>
      </c>
      <c r="M219" s="28" t="n"/>
    </row>
    <row r="220">
      <c r="A220" s="28" t="n"/>
      <c r="B220" s="28" t="n"/>
      <c r="C220" s="28" t="n"/>
      <c r="D220" s="27" t="n"/>
      <c r="E220" s="34" t="n"/>
      <c r="F220" s="35">
        <f>IF(D220="","",D220+IF(E220="",Setup!$B$10,E220))</f>
        <v/>
      </c>
      <c r="G220" s="29" t="n"/>
      <c r="H220" s="29" t="n"/>
      <c r="I220" s="26">
        <f>IF(G220="","",G220-N(H220))</f>
        <v/>
      </c>
      <c r="J220" s="27" t="n"/>
      <c r="K220" s="24">
        <f>IF(G220="","",IF(I220&lt;=0,"Paid",IF(TODAY()&gt;F220,"Overdue","Open")))</f>
        <v/>
      </c>
      <c r="L220" s="33">
        <f>IF(K220="Overdue",TODAY()-F220,"")</f>
        <v/>
      </c>
      <c r="M220" s="28" t="n"/>
    </row>
    <row r="221">
      <c r="A221" s="28" t="n"/>
      <c r="B221" s="28" t="n"/>
      <c r="C221" s="28" t="n"/>
      <c r="D221" s="27" t="n"/>
      <c r="E221" s="34" t="n"/>
      <c r="F221" s="35">
        <f>IF(D221="","",D221+IF(E221="",Setup!$B$10,E221))</f>
        <v/>
      </c>
      <c r="G221" s="29" t="n"/>
      <c r="H221" s="29" t="n"/>
      <c r="I221" s="26">
        <f>IF(G221="","",G221-N(H221))</f>
        <v/>
      </c>
      <c r="J221" s="27" t="n"/>
      <c r="K221" s="24">
        <f>IF(G221="","",IF(I221&lt;=0,"Paid",IF(TODAY()&gt;F221,"Overdue","Open")))</f>
        <v/>
      </c>
      <c r="L221" s="33">
        <f>IF(K221="Overdue",TODAY()-F221,"")</f>
        <v/>
      </c>
      <c r="M221" s="28" t="n"/>
    </row>
    <row r="222">
      <c r="A222" s="28" t="n"/>
      <c r="B222" s="28" t="n"/>
      <c r="C222" s="28" t="n"/>
      <c r="D222" s="27" t="n"/>
      <c r="E222" s="34" t="n"/>
      <c r="F222" s="35">
        <f>IF(D222="","",D222+IF(E222="",Setup!$B$10,E222))</f>
        <v/>
      </c>
      <c r="G222" s="29" t="n"/>
      <c r="H222" s="29" t="n"/>
      <c r="I222" s="26">
        <f>IF(G222="","",G222-N(H222))</f>
        <v/>
      </c>
      <c r="J222" s="27" t="n"/>
      <c r="K222" s="24">
        <f>IF(G222="","",IF(I222&lt;=0,"Paid",IF(TODAY()&gt;F222,"Overdue","Open")))</f>
        <v/>
      </c>
      <c r="L222" s="33">
        <f>IF(K222="Overdue",TODAY()-F222,"")</f>
        <v/>
      </c>
      <c r="M222" s="28" t="n"/>
    </row>
    <row r="223">
      <c r="A223" s="28" t="n"/>
      <c r="B223" s="28" t="n"/>
      <c r="C223" s="28" t="n"/>
      <c r="D223" s="27" t="n"/>
      <c r="E223" s="34" t="n"/>
      <c r="F223" s="35">
        <f>IF(D223="","",D223+IF(E223="",Setup!$B$10,E223))</f>
        <v/>
      </c>
      <c r="G223" s="29" t="n"/>
      <c r="H223" s="29" t="n"/>
      <c r="I223" s="26">
        <f>IF(G223="","",G223-N(H223))</f>
        <v/>
      </c>
      <c r="J223" s="27" t="n"/>
      <c r="K223" s="24">
        <f>IF(G223="","",IF(I223&lt;=0,"Paid",IF(TODAY()&gt;F223,"Overdue","Open")))</f>
        <v/>
      </c>
      <c r="L223" s="33">
        <f>IF(K223="Overdue",TODAY()-F223,"")</f>
        <v/>
      </c>
      <c r="M223" s="28" t="n"/>
    </row>
    <row r="224">
      <c r="A224" s="28" t="n"/>
      <c r="B224" s="28" t="n"/>
      <c r="C224" s="28" t="n"/>
      <c r="D224" s="27" t="n"/>
      <c r="E224" s="34" t="n"/>
      <c r="F224" s="35">
        <f>IF(D224="","",D224+IF(E224="",Setup!$B$10,E224))</f>
        <v/>
      </c>
      <c r="G224" s="29" t="n"/>
      <c r="H224" s="29" t="n"/>
      <c r="I224" s="26">
        <f>IF(G224="","",G224-N(H224))</f>
        <v/>
      </c>
      <c r="J224" s="27" t="n"/>
      <c r="K224" s="24">
        <f>IF(G224="","",IF(I224&lt;=0,"Paid",IF(TODAY()&gt;F224,"Overdue","Open")))</f>
        <v/>
      </c>
      <c r="L224" s="33">
        <f>IF(K224="Overdue",TODAY()-F224,"")</f>
        <v/>
      </c>
      <c r="M224" s="28" t="n"/>
    </row>
    <row r="225">
      <c r="A225" s="28" t="n"/>
      <c r="B225" s="28" t="n"/>
      <c r="C225" s="28" t="n"/>
      <c r="D225" s="27" t="n"/>
      <c r="E225" s="34" t="n"/>
      <c r="F225" s="35">
        <f>IF(D225="","",D225+IF(E225="",Setup!$B$10,E225))</f>
        <v/>
      </c>
      <c r="G225" s="29" t="n"/>
      <c r="H225" s="29" t="n"/>
      <c r="I225" s="26">
        <f>IF(G225="","",G225-N(H225))</f>
        <v/>
      </c>
      <c r="J225" s="27" t="n"/>
      <c r="K225" s="24">
        <f>IF(G225="","",IF(I225&lt;=0,"Paid",IF(TODAY()&gt;F225,"Overdue","Open")))</f>
        <v/>
      </c>
      <c r="L225" s="33">
        <f>IF(K225="Overdue",TODAY()-F225,"")</f>
        <v/>
      </c>
      <c r="M225" s="28" t="n"/>
    </row>
    <row r="226">
      <c r="A226" s="28" t="n"/>
      <c r="B226" s="28" t="n"/>
      <c r="C226" s="28" t="n"/>
      <c r="D226" s="27" t="n"/>
      <c r="E226" s="34" t="n"/>
      <c r="F226" s="35">
        <f>IF(D226="","",D226+IF(E226="",Setup!$B$10,E226))</f>
        <v/>
      </c>
      <c r="G226" s="29" t="n"/>
      <c r="H226" s="29" t="n"/>
      <c r="I226" s="26">
        <f>IF(G226="","",G226-N(H226))</f>
        <v/>
      </c>
      <c r="J226" s="27" t="n"/>
      <c r="K226" s="24">
        <f>IF(G226="","",IF(I226&lt;=0,"Paid",IF(TODAY()&gt;F226,"Overdue","Open")))</f>
        <v/>
      </c>
      <c r="L226" s="33">
        <f>IF(K226="Overdue",TODAY()-F226,"")</f>
        <v/>
      </c>
      <c r="M226" s="28" t="n"/>
    </row>
    <row r="227">
      <c r="A227" s="28" t="n"/>
      <c r="B227" s="28" t="n"/>
      <c r="C227" s="28" t="n"/>
      <c r="D227" s="27" t="n"/>
      <c r="E227" s="34" t="n"/>
      <c r="F227" s="35">
        <f>IF(D227="","",D227+IF(E227="",Setup!$B$10,E227))</f>
        <v/>
      </c>
      <c r="G227" s="29" t="n"/>
      <c r="H227" s="29" t="n"/>
      <c r="I227" s="26">
        <f>IF(G227="","",G227-N(H227))</f>
        <v/>
      </c>
      <c r="J227" s="27" t="n"/>
      <c r="K227" s="24">
        <f>IF(G227="","",IF(I227&lt;=0,"Paid",IF(TODAY()&gt;F227,"Overdue","Open")))</f>
        <v/>
      </c>
      <c r="L227" s="33">
        <f>IF(K227="Overdue",TODAY()-F227,"")</f>
        <v/>
      </c>
      <c r="M227" s="28" t="n"/>
    </row>
    <row r="228">
      <c r="A228" s="28" t="n"/>
      <c r="B228" s="28" t="n"/>
      <c r="C228" s="28" t="n"/>
      <c r="D228" s="27" t="n"/>
      <c r="E228" s="34" t="n"/>
      <c r="F228" s="35">
        <f>IF(D228="","",D228+IF(E228="",Setup!$B$10,E228))</f>
        <v/>
      </c>
      <c r="G228" s="29" t="n"/>
      <c r="H228" s="29" t="n"/>
      <c r="I228" s="26">
        <f>IF(G228="","",G228-N(H228))</f>
        <v/>
      </c>
      <c r="J228" s="27" t="n"/>
      <c r="K228" s="24">
        <f>IF(G228="","",IF(I228&lt;=0,"Paid",IF(TODAY()&gt;F228,"Overdue","Open")))</f>
        <v/>
      </c>
      <c r="L228" s="33">
        <f>IF(K228="Overdue",TODAY()-F228,"")</f>
        <v/>
      </c>
      <c r="M228" s="28" t="n"/>
    </row>
    <row r="229">
      <c r="A229" s="28" t="n"/>
      <c r="B229" s="28" t="n"/>
      <c r="C229" s="28" t="n"/>
      <c r="D229" s="27" t="n"/>
      <c r="E229" s="34" t="n"/>
      <c r="F229" s="35">
        <f>IF(D229="","",D229+IF(E229="",Setup!$B$10,E229))</f>
        <v/>
      </c>
      <c r="G229" s="29" t="n"/>
      <c r="H229" s="29" t="n"/>
      <c r="I229" s="26">
        <f>IF(G229="","",G229-N(H229))</f>
        <v/>
      </c>
      <c r="J229" s="27" t="n"/>
      <c r="K229" s="24">
        <f>IF(G229="","",IF(I229&lt;=0,"Paid",IF(TODAY()&gt;F229,"Overdue","Open")))</f>
        <v/>
      </c>
      <c r="L229" s="33">
        <f>IF(K229="Overdue",TODAY()-F229,"")</f>
        <v/>
      </c>
      <c r="M229" s="28" t="n"/>
    </row>
    <row r="230">
      <c r="A230" s="28" t="n"/>
      <c r="B230" s="28" t="n"/>
      <c r="C230" s="28" t="n"/>
      <c r="D230" s="27" t="n"/>
      <c r="E230" s="34" t="n"/>
      <c r="F230" s="35">
        <f>IF(D230="","",D230+IF(E230="",Setup!$B$10,E230))</f>
        <v/>
      </c>
      <c r="G230" s="29" t="n"/>
      <c r="H230" s="29" t="n"/>
      <c r="I230" s="26">
        <f>IF(G230="","",G230-N(H230))</f>
        <v/>
      </c>
      <c r="J230" s="27" t="n"/>
      <c r="K230" s="24">
        <f>IF(G230="","",IF(I230&lt;=0,"Paid",IF(TODAY()&gt;F230,"Overdue","Open")))</f>
        <v/>
      </c>
      <c r="L230" s="33">
        <f>IF(K230="Overdue",TODAY()-F230,"")</f>
        <v/>
      </c>
      <c r="M230" s="28" t="n"/>
    </row>
    <row r="231">
      <c r="A231" s="28" t="n"/>
      <c r="B231" s="28" t="n"/>
      <c r="C231" s="28" t="n"/>
      <c r="D231" s="27" t="n"/>
      <c r="E231" s="34" t="n"/>
      <c r="F231" s="35">
        <f>IF(D231="","",D231+IF(E231="",Setup!$B$10,E231))</f>
        <v/>
      </c>
      <c r="G231" s="29" t="n"/>
      <c r="H231" s="29" t="n"/>
      <c r="I231" s="26">
        <f>IF(G231="","",G231-N(H231))</f>
        <v/>
      </c>
      <c r="J231" s="27" t="n"/>
      <c r="K231" s="24">
        <f>IF(G231="","",IF(I231&lt;=0,"Paid",IF(TODAY()&gt;F231,"Overdue","Open")))</f>
        <v/>
      </c>
      <c r="L231" s="33">
        <f>IF(K231="Overdue",TODAY()-F231,"")</f>
        <v/>
      </c>
      <c r="M231" s="28" t="n"/>
    </row>
    <row r="232">
      <c r="A232" s="28" t="n"/>
      <c r="B232" s="28" t="n"/>
      <c r="C232" s="28" t="n"/>
      <c r="D232" s="27" t="n"/>
      <c r="E232" s="34" t="n"/>
      <c r="F232" s="35">
        <f>IF(D232="","",D232+IF(E232="",Setup!$B$10,E232))</f>
        <v/>
      </c>
      <c r="G232" s="29" t="n"/>
      <c r="H232" s="29" t="n"/>
      <c r="I232" s="26">
        <f>IF(G232="","",G232-N(H232))</f>
        <v/>
      </c>
      <c r="J232" s="27" t="n"/>
      <c r="K232" s="24">
        <f>IF(G232="","",IF(I232&lt;=0,"Paid",IF(TODAY()&gt;F232,"Overdue","Open")))</f>
        <v/>
      </c>
      <c r="L232" s="33">
        <f>IF(K232="Overdue",TODAY()-F232,"")</f>
        <v/>
      </c>
      <c r="M232" s="28" t="n"/>
    </row>
    <row r="233">
      <c r="A233" s="28" t="n"/>
      <c r="B233" s="28" t="n"/>
      <c r="C233" s="28" t="n"/>
      <c r="D233" s="27" t="n"/>
      <c r="E233" s="34" t="n"/>
      <c r="F233" s="35">
        <f>IF(D233="","",D233+IF(E233="",Setup!$B$10,E233))</f>
        <v/>
      </c>
      <c r="G233" s="29" t="n"/>
      <c r="H233" s="29" t="n"/>
      <c r="I233" s="26">
        <f>IF(G233="","",G233-N(H233))</f>
        <v/>
      </c>
      <c r="J233" s="27" t="n"/>
      <c r="K233" s="24">
        <f>IF(G233="","",IF(I233&lt;=0,"Paid",IF(TODAY()&gt;F233,"Overdue","Open")))</f>
        <v/>
      </c>
      <c r="L233" s="33">
        <f>IF(K233="Overdue",TODAY()-F233,"")</f>
        <v/>
      </c>
      <c r="M233" s="28" t="n"/>
    </row>
    <row r="234">
      <c r="A234" s="28" t="n"/>
      <c r="B234" s="28" t="n"/>
      <c r="C234" s="28" t="n"/>
      <c r="D234" s="27" t="n"/>
      <c r="E234" s="34" t="n"/>
      <c r="F234" s="35">
        <f>IF(D234="","",D234+IF(E234="",Setup!$B$10,E234))</f>
        <v/>
      </c>
      <c r="G234" s="29" t="n"/>
      <c r="H234" s="29" t="n"/>
      <c r="I234" s="26">
        <f>IF(G234="","",G234-N(H234))</f>
        <v/>
      </c>
      <c r="J234" s="27" t="n"/>
      <c r="K234" s="24">
        <f>IF(G234="","",IF(I234&lt;=0,"Paid",IF(TODAY()&gt;F234,"Overdue","Open")))</f>
        <v/>
      </c>
      <c r="L234" s="33">
        <f>IF(K234="Overdue",TODAY()-F234,"")</f>
        <v/>
      </c>
      <c r="M234" s="28" t="n"/>
    </row>
    <row r="235">
      <c r="A235" s="28" t="n"/>
      <c r="B235" s="28" t="n"/>
      <c r="C235" s="28" t="n"/>
      <c r="D235" s="27" t="n"/>
      <c r="E235" s="34" t="n"/>
      <c r="F235" s="35">
        <f>IF(D235="","",D235+IF(E235="",Setup!$B$10,E235))</f>
        <v/>
      </c>
      <c r="G235" s="29" t="n"/>
      <c r="H235" s="29" t="n"/>
      <c r="I235" s="26">
        <f>IF(G235="","",G235-N(H235))</f>
        <v/>
      </c>
      <c r="J235" s="27" t="n"/>
      <c r="K235" s="24">
        <f>IF(G235="","",IF(I235&lt;=0,"Paid",IF(TODAY()&gt;F235,"Overdue","Open")))</f>
        <v/>
      </c>
      <c r="L235" s="33">
        <f>IF(K235="Overdue",TODAY()-F235,"")</f>
        <v/>
      </c>
      <c r="M235" s="28" t="n"/>
    </row>
    <row r="236">
      <c r="A236" s="28" t="n"/>
      <c r="B236" s="28" t="n"/>
      <c r="C236" s="28" t="n"/>
      <c r="D236" s="27" t="n"/>
      <c r="E236" s="34" t="n"/>
      <c r="F236" s="35">
        <f>IF(D236="","",D236+IF(E236="",Setup!$B$10,E236))</f>
        <v/>
      </c>
      <c r="G236" s="29" t="n"/>
      <c r="H236" s="29" t="n"/>
      <c r="I236" s="26">
        <f>IF(G236="","",G236-N(H236))</f>
        <v/>
      </c>
      <c r="J236" s="27" t="n"/>
      <c r="K236" s="24">
        <f>IF(G236="","",IF(I236&lt;=0,"Paid",IF(TODAY()&gt;F236,"Overdue","Open")))</f>
        <v/>
      </c>
      <c r="L236" s="33">
        <f>IF(K236="Overdue",TODAY()-F236,"")</f>
        <v/>
      </c>
      <c r="M236" s="28" t="n"/>
    </row>
    <row r="237">
      <c r="A237" s="28" t="n"/>
      <c r="B237" s="28" t="n"/>
      <c r="C237" s="28" t="n"/>
      <c r="D237" s="27" t="n"/>
      <c r="E237" s="34" t="n"/>
      <c r="F237" s="35">
        <f>IF(D237="","",D237+IF(E237="",Setup!$B$10,E237))</f>
        <v/>
      </c>
      <c r="G237" s="29" t="n"/>
      <c r="H237" s="29" t="n"/>
      <c r="I237" s="26">
        <f>IF(G237="","",G237-N(H237))</f>
        <v/>
      </c>
      <c r="J237" s="27" t="n"/>
      <c r="K237" s="24">
        <f>IF(G237="","",IF(I237&lt;=0,"Paid",IF(TODAY()&gt;F237,"Overdue","Open")))</f>
        <v/>
      </c>
      <c r="L237" s="33">
        <f>IF(K237="Overdue",TODAY()-F237,"")</f>
        <v/>
      </c>
      <c r="M237" s="28" t="n"/>
    </row>
    <row r="238">
      <c r="A238" s="28" t="n"/>
      <c r="B238" s="28" t="n"/>
      <c r="C238" s="28" t="n"/>
      <c r="D238" s="27" t="n"/>
      <c r="E238" s="34" t="n"/>
      <c r="F238" s="35">
        <f>IF(D238="","",D238+IF(E238="",Setup!$B$10,E238))</f>
        <v/>
      </c>
      <c r="G238" s="29" t="n"/>
      <c r="H238" s="29" t="n"/>
      <c r="I238" s="26">
        <f>IF(G238="","",G238-N(H238))</f>
        <v/>
      </c>
      <c r="J238" s="27" t="n"/>
      <c r="K238" s="24">
        <f>IF(G238="","",IF(I238&lt;=0,"Paid",IF(TODAY()&gt;F238,"Overdue","Open")))</f>
        <v/>
      </c>
      <c r="L238" s="33">
        <f>IF(K238="Overdue",TODAY()-F238,"")</f>
        <v/>
      </c>
      <c r="M238" s="28" t="n"/>
    </row>
    <row r="239">
      <c r="A239" s="28" t="n"/>
      <c r="B239" s="28" t="n"/>
      <c r="C239" s="28" t="n"/>
      <c r="D239" s="27" t="n"/>
      <c r="E239" s="34" t="n"/>
      <c r="F239" s="35">
        <f>IF(D239="","",D239+IF(E239="",Setup!$B$10,E239))</f>
        <v/>
      </c>
      <c r="G239" s="29" t="n"/>
      <c r="H239" s="29" t="n"/>
      <c r="I239" s="26">
        <f>IF(G239="","",G239-N(H239))</f>
        <v/>
      </c>
      <c r="J239" s="27" t="n"/>
      <c r="K239" s="24">
        <f>IF(G239="","",IF(I239&lt;=0,"Paid",IF(TODAY()&gt;F239,"Overdue","Open")))</f>
        <v/>
      </c>
      <c r="L239" s="33">
        <f>IF(K239="Overdue",TODAY()-F239,"")</f>
        <v/>
      </c>
      <c r="M239" s="28" t="n"/>
    </row>
    <row r="240">
      <c r="A240" s="28" t="n"/>
      <c r="B240" s="28" t="n"/>
      <c r="C240" s="28" t="n"/>
      <c r="D240" s="27" t="n"/>
      <c r="E240" s="34" t="n"/>
      <c r="F240" s="35">
        <f>IF(D240="","",D240+IF(E240="",Setup!$B$10,E240))</f>
        <v/>
      </c>
      <c r="G240" s="29" t="n"/>
      <c r="H240" s="29" t="n"/>
      <c r="I240" s="26">
        <f>IF(G240="","",G240-N(H240))</f>
        <v/>
      </c>
      <c r="J240" s="27" t="n"/>
      <c r="K240" s="24">
        <f>IF(G240="","",IF(I240&lt;=0,"Paid",IF(TODAY()&gt;F240,"Overdue","Open")))</f>
        <v/>
      </c>
      <c r="L240" s="33">
        <f>IF(K240="Overdue",TODAY()-F240,"")</f>
        <v/>
      </c>
      <c r="M240" s="28" t="n"/>
    </row>
    <row r="241">
      <c r="A241" s="28" t="n"/>
      <c r="B241" s="28" t="n"/>
      <c r="C241" s="28" t="n"/>
      <c r="D241" s="27" t="n"/>
      <c r="E241" s="34" t="n"/>
      <c r="F241" s="35">
        <f>IF(D241="","",D241+IF(E241="",Setup!$B$10,E241))</f>
        <v/>
      </c>
      <c r="G241" s="29" t="n"/>
      <c r="H241" s="29" t="n"/>
      <c r="I241" s="26">
        <f>IF(G241="","",G241-N(H241))</f>
        <v/>
      </c>
      <c r="J241" s="27" t="n"/>
      <c r="K241" s="24">
        <f>IF(G241="","",IF(I241&lt;=0,"Paid",IF(TODAY()&gt;F241,"Overdue","Open")))</f>
        <v/>
      </c>
      <c r="L241" s="33">
        <f>IF(K241="Overdue",TODAY()-F241,"")</f>
        <v/>
      </c>
      <c r="M241" s="28" t="n"/>
    </row>
    <row r="242">
      <c r="A242" s="28" t="n"/>
      <c r="B242" s="28" t="n"/>
      <c r="C242" s="28" t="n"/>
      <c r="D242" s="27" t="n"/>
      <c r="E242" s="34" t="n"/>
      <c r="F242" s="35">
        <f>IF(D242="","",D242+IF(E242="",Setup!$B$10,E242))</f>
        <v/>
      </c>
      <c r="G242" s="29" t="n"/>
      <c r="H242" s="29" t="n"/>
      <c r="I242" s="26">
        <f>IF(G242="","",G242-N(H242))</f>
        <v/>
      </c>
      <c r="J242" s="27" t="n"/>
      <c r="K242" s="24">
        <f>IF(G242="","",IF(I242&lt;=0,"Paid",IF(TODAY()&gt;F242,"Overdue","Open")))</f>
        <v/>
      </c>
      <c r="L242" s="33">
        <f>IF(K242="Overdue",TODAY()-F242,"")</f>
        <v/>
      </c>
      <c r="M242" s="28" t="n"/>
    </row>
    <row r="243">
      <c r="A243" s="28" t="n"/>
      <c r="B243" s="28" t="n"/>
      <c r="C243" s="28" t="n"/>
      <c r="D243" s="27" t="n"/>
      <c r="E243" s="34" t="n"/>
      <c r="F243" s="35">
        <f>IF(D243="","",D243+IF(E243="",Setup!$B$10,E243))</f>
        <v/>
      </c>
      <c r="G243" s="29" t="n"/>
      <c r="H243" s="29" t="n"/>
      <c r="I243" s="26">
        <f>IF(G243="","",G243-N(H243))</f>
        <v/>
      </c>
      <c r="J243" s="27" t="n"/>
      <c r="K243" s="24">
        <f>IF(G243="","",IF(I243&lt;=0,"Paid",IF(TODAY()&gt;F243,"Overdue","Open")))</f>
        <v/>
      </c>
      <c r="L243" s="33">
        <f>IF(K243="Overdue",TODAY()-F243,"")</f>
        <v/>
      </c>
      <c r="M243" s="28" t="n"/>
    </row>
    <row r="244">
      <c r="A244" s="28" t="n"/>
      <c r="B244" s="28" t="n"/>
      <c r="C244" s="28" t="n"/>
      <c r="D244" s="27" t="n"/>
      <c r="E244" s="34" t="n"/>
      <c r="F244" s="35">
        <f>IF(D244="","",D244+IF(E244="",Setup!$B$10,E244))</f>
        <v/>
      </c>
      <c r="G244" s="29" t="n"/>
      <c r="H244" s="29" t="n"/>
      <c r="I244" s="26">
        <f>IF(G244="","",G244-N(H244))</f>
        <v/>
      </c>
      <c r="J244" s="27" t="n"/>
      <c r="K244" s="24">
        <f>IF(G244="","",IF(I244&lt;=0,"Paid",IF(TODAY()&gt;F244,"Overdue","Open")))</f>
        <v/>
      </c>
      <c r="L244" s="33">
        <f>IF(K244="Overdue",TODAY()-F244,"")</f>
        <v/>
      </c>
      <c r="M244" s="28" t="n"/>
    </row>
    <row r="245">
      <c r="A245" s="28" t="n"/>
      <c r="B245" s="28" t="n"/>
      <c r="C245" s="28" t="n"/>
      <c r="D245" s="27" t="n"/>
      <c r="E245" s="34" t="n"/>
      <c r="F245" s="35">
        <f>IF(D245="","",D245+IF(E245="",Setup!$B$10,E245))</f>
        <v/>
      </c>
      <c r="G245" s="29" t="n"/>
      <c r="H245" s="29" t="n"/>
      <c r="I245" s="26">
        <f>IF(G245="","",G245-N(H245))</f>
        <v/>
      </c>
      <c r="J245" s="27" t="n"/>
      <c r="K245" s="24">
        <f>IF(G245="","",IF(I245&lt;=0,"Paid",IF(TODAY()&gt;F245,"Overdue","Open")))</f>
        <v/>
      </c>
      <c r="L245" s="33">
        <f>IF(K245="Overdue",TODAY()-F245,"")</f>
        <v/>
      </c>
      <c r="M245" s="28" t="n"/>
    </row>
    <row r="246">
      <c r="A246" s="28" t="n"/>
      <c r="B246" s="28" t="n"/>
      <c r="C246" s="28" t="n"/>
      <c r="D246" s="27" t="n"/>
      <c r="E246" s="34" t="n"/>
      <c r="F246" s="35">
        <f>IF(D246="","",D246+IF(E246="",Setup!$B$10,E246))</f>
        <v/>
      </c>
      <c r="G246" s="29" t="n"/>
      <c r="H246" s="29" t="n"/>
      <c r="I246" s="26">
        <f>IF(G246="","",G246-N(H246))</f>
        <v/>
      </c>
      <c r="J246" s="27" t="n"/>
      <c r="K246" s="24">
        <f>IF(G246="","",IF(I246&lt;=0,"Paid",IF(TODAY()&gt;F246,"Overdue","Open")))</f>
        <v/>
      </c>
      <c r="L246" s="33">
        <f>IF(K246="Overdue",TODAY()-F246,"")</f>
        <v/>
      </c>
      <c r="M246" s="28" t="n"/>
    </row>
    <row r="247">
      <c r="A247" s="28" t="n"/>
      <c r="B247" s="28" t="n"/>
      <c r="C247" s="28" t="n"/>
      <c r="D247" s="27" t="n"/>
      <c r="E247" s="34" t="n"/>
      <c r="F247" s="35">
        <f>IF(D247="","",D247+IF(E247="",Setup!$B$10,E247))</f>
        <v/>
      </c>
      <c r="G247" s="29" t="n"/>
      <c r="H247" s="29" t="n"/>
      <c r="I247" s="26">
        <f>IF(G247="","",G247-N(H247))</f>
        <v/>
      </c>
      <c r="J247" s="27" t="n"/>
      <c r="K247" s="24">
        <f>IF(G247="","",IF(I247&lt;=0,"Paid",IF(TODAY()&gt;F247,"Overdue","Open")))</f>
        <v/>
      </c>
      <c r="L247" s="33">
        <f>IF(K247="Overdue",TODAY()-F247,"")</f>
        <v/>
      </c>
      <c r="M247" s="28" t="n"/>
    </row>
    <row r="248">
      <c r="A248" s="28" t="n"/>
      <c r="B248" s="28" t="n"/>
      <c r="C248" s="28" t="n"/>
      <c r="D248" s="27" t="n"/>
      <c r="E248" s="34" t="n"/>
      <c r="F248" s="35">
        <f>IF(D248="","",D248+IF(E248="",Setup!$B$10,E248))</f>
        <v/>
      </c>
      <c r="G248" s="29" t="n"/>
      <c r="H248" s="29" t="n"/>
      <c r="I248" s="26">
        <f>IF(G248="","",G248-N(H248))</f>
        <v/>
      </c>
      <c r="J248" s="27" t="n"/>
      <c r="K248" s="24">
        <f>IF(G248="","",IF(I248&lt;=0,"Paid",IF(TODAY()&gt;F248,"Overdue","Open")))</f>
        <v/>
      </c>
      <c r="L248" s="33">
        <f>IF(K248="Overdue",TODAY()-F248,"")</f>
        <v/>
      </c>
      <c r="M248" s="28" t="n"/>
    </row>
    <row r="249">
      <c r="A249" s="28" t="n"/>
      <c r="B249" s="28" t="n"/>
      <c r="C249" s="28" t="n"/>
      <c r="D249" s="27" t="n"/>
      <c r="E249" s="34" t="n"/>
      <c r="F249" s="35">
        <f>IF(D249="","",D249+IF(E249="",Setup!$B$10,E249))</f>
        <v/>
      </c>
      <c r="G249" s="29" t="n"/>
      <c r="H249" s="29" t="n"/>
      <c r="I249" s="26">
        <f>IF(G249="","",G249-N(H249))</f>
        <v/>
      </c>
      <c r="J249" s="27" t="n"/>
      <c r="K249" s="24">
        <f>IF(G249="","",IF(I249&lt;=0,"Paid",IF(TODAY()&gt;F249,"Overdue","Open")))</f>
        <v/>
      </c>
      <c r="L249" s="33">
        <f>IF(K249="Overdue",TODAY()-F249,"")</f>
        <v/>
      </c>
      <c r="M249" s="28" t="n"/>
    </row>
    <row r="250">
      <c r="A250" s="28" t="n"/>
      <c r="B250" s="28" t="n"/>
      <c r="C250" s="28" t="n"/>
      <c r="D250" s="27" t="n"/>
      <c r="E250" s="34" t="n"/>
      <c r="F250" s="35">
        <f>IF(D250="","",D250+IF(E250="",Setup!$B$10,E250))</f>
        <v/>
      </c>
      <c r="G250" s="29" t="n"/>
      <c r="H250" s="29" t="n"/>
      <c r="I250" s="26">
        <f>IF(G250="","",G250-N(H250))</f>
        <v/>
      </c>
      <c r="J250" s="27" t="n"/>
      <c r="K250" s="24">
        <f>IF(G250="","",IF(I250&lt;=0,"Paid",IF(TODAY()&gt;F250,"Overdue","Open")))</f>
        <v/>
      </c>
      <c r="L250" s="33">
        <f>IF(K250="Overdue",TODAY()-F250,"")</f>
        <v/>
      </c>
      <c r="M250" s="28" t="n"/>
    </row>
    <row r="251">
      <c r="A251" s="28" t="n"/>
      <c r="B251" s="28" t="n"/>
      <c r="C251" s="28" t="n"/>
      <c r="D251" s="27" t="n"/>
      <c r="E251" s="34" t="n"/>
      <c r="F251" s="35">
        <f>IF(D251="","",D251+IF(E251="",Setup!$B$10,E251))</f>
        <v/>
      </c>
      <c r="G251" s="29" t="n"/>
      <c r="H251" s="29" t="n"/>
      <c r="I251" s="26">
        <f>IF(G251="","",G251-N(H251))</f>
        <v/>
      </c>
      <c r="J251" s="27" t="n"/>
      <c r="K251" s="24">
        <f>IF(G251="","",IF(I251&lt;=0,"Paid",IF(TODAY()&gt;F251,"Overdue","Open")))</f>
        <v/>
      </c>
      <c r="L251" s="33">
        <f>IF(K251="Overdue",TODAY()-F251,"")</f>
        <v/>
      </c>
      <c r="M251" s="28" t="n"/>
    </row>
    <row r="252">
      <c r="A252" s="28" t="n"/>
      <c r="B252" s="28" t="n"/>
      <c r="C252" s="28" t="n"/>
      <c r="D252" s="27" t="n"/>
      <c r="E252" s="34" t="n"/>
      <c r="F252" s="35">
        <f>IF(D252="","",D252+IF(E252="",Setup!$B$10,E252))</f>
        <v/>
      </c>
      <c r="G252" s="29" t="n"/>
      <c r="H252" s="29" t="n"/>
      <c r="I252" s="26">
        <f>IF(G252="","",G252-N(H252))</f>
        <v/>
      </c>
      <c r="J252" s="27" t="n"/>
      <c r="K252" s="24">
        <f>IF(G252="","",IF(I252&lt;=0,"Paid",IF(TODAY()&gt;F252,"Overdue","Open")))</f>
        <v/>
      </c>
      <c r="L252" s="33">
        <f>IF(K252="Overdue",TODAY()-F252,"")</f>
        <v/>
      </c>
      <c r="M252" s="28" t="n"/>
    </row>
    <row r="253">
      <c r="A253" s="28" t="n"/>
      <c r="B253" s="28" t="n"/>
      <c r="C253" s="28" t="n"/>
      <c r="D253" s="27" t="n"/>
      <c r="E253" s="34" t="n"/>
      <c r="F253" s="35">
        <f>IF(D253="","",D253+IF(E253="",Setup!$B$10,E253))</f>
        <v/>
      </c>
      <c r="G253" s="29" t="n"/>
      <c r="H253" s="29" t="n"/>
      <c r="I253" s="26">
        <f>IF(G253="","",G253-N(H253))</f>
        <v/>
      </c>
      <c r="J253" s="27" t="n"/>
      <c r="K253" s="24">
        <f>IF(G253="","",IF(I253&lt;=0,"Paid",IF(TODAY()&gt;F253,"Overdue","Open")))</f>
        <v/>
      </c>
      <c r="L253" s="33">
        <f>IF(K253="Overdue",TODAY()-F253,"")</f>
        <v/>
      </c>
      <c r="M253" s="28" t="n"/>
    </row>
    <row r="254">
      <c r="A254" s="28" t="n"/>
      <c r="B254" s="28" t="n"/>
      <c r="C254" s="28" t="n"/>
      <c r="D254" s="27" t="n"/>
      <c r="E254" s="34" t="n"/>
      <c r="F254" s="35">
        <f>IF(D254="","",D254+IF(E254="",Setup!$B$10,E254))</f>
        <v/>
      </c>
      <c r="G254" s="29" t="n"/>
      <c r="H254" s="29" t="n"/>
      <c r="I254" s="26">
        <f>IF(G254="","",G254-N(H254))</f>
        <v/>
      </c>
      <c r="J254" s="27" t="n"/>
      <c r="K254" s="24">
        <f>IF(G254="","",IF(I254&lt;=0,"Paid",IF(TODAY()&gt;F254,"Overdue","Open")))</f>
        <v/>
      </c>
      <c r="L254" s="33">
        <f>IF(K254="Overdue",TODAY()-F254,"")</f>
        <v/>
      </c>
      <c r="M254" s="28" t="n"/>
    </row>
    <row r="255">
      <c r="A255" s="28" t="n"/>
      <c r="B255" s="28" t="n"/>
      <c r="C255" s="28" t="n"/>
      <c r="D255" s="27" t="n"/>
      <c r="E255" s="34" t="n"/>
      <c r="F255" s="35">
        <f>IF(D255="","",D255+IF(E255="",Setup!$B$10,E255))</f>
        <v/>
      </c>
      <c r="G255" s="29" t="n"/>
      <c r="H255" s="29" t="n"/>
      <c r="I255" s="26">
        <f>IF(G255="","",G255-N(H255))</f>
        <v/>
      </c>
      <c r="J255" s="27" t="n"/>
      <c r="K255" s="24">
        <f>IF(G255="","",IF(I255&lt;=0,"Paid",IF(TODAY()&gt;F255,"Overdue","Open")))</f>
        <v/>
      </c>
      <c r="L255" s="33">
        <f>IF(K255="Overdue",TODAY()-F255,"")</f>
        <v/>
      </c>
      <c r="M255" s="28" t="n"/>
    </row>
    <row r="256">
      <c r="A256" s="28" t="n"/>
      <c r="B256" s="28" t="n"/>
      <c r="C256" s="28" t="n"/>
      <c r="D256" s="27" t="n"/>
      <c r="E256" s="34" t="n"/>
      <c r="F256" s="35">
        <f>IF(D256="","",D256+IF(E256="",Setup!$B$10,E256))</f>
        <v/>
      </c>
      <c r="G256" s="29" t="n"/>
      <c r="H256" s="29" t="n"/>
      <c r="I256" s="26">
        <f>IF(G256="","",G256-N(H256))</f>
        <v/>
      </c>
      <c r="J256" s="27" t="n"/>
      <c r="K256" s="24">
        <f>IF(G256="","",IF(I256&lt;=0,"Paid",IF(TODAY()&gt;F256,"Overdue","Open")))</f>
        <v/>
      </c>
      <c r="L256" s="33">
        <f>IF(K256="Overdue",TODAY()-F256,"")</f>
        <v/>
      </c>
      <c r="M256" s="28" t="n"/>
    </row>
    <row r="257">
      <c r="A257" s="28" t="n"/>
      <c r="B257" s="28" t="n"/>
      <c r="C257" s="28" t="n"/>
      <c r="D257" s="27" t="n"/>
      <c r="E257" s="34" t="n"/>
      <c r="F257" s="35">
        <f>IF(D257="","",D257+IF(E257="",Setup!$B$10,E257))</f>
        <v/>
      </c>
      <c r="G257" s="29" t="n"/>
      <c r="H257" s="29" t="n"/>
      <c r="I257" s="26">
        <f>IF(G257="","",G257-N(H257))</f>
        <v/>
      </c>
      <c r="J257" s="27" t="n"/>
      <c r="K257" s="24">
        <f>IF(G257="","",IF(I257&lt;=0,"Paid",IF(TODAY()&gt;F257,"Overdue","Open")))</f>
        <v/>
      </c>
      <c r="L257" s="33">
        <f>IF(K257="Overdue",TODAY()-F257,"")</f>
        <v/>
      </c>
      <c r="M257" s="28" t="n"/>
    </row>
    <row r="258">
      <c r="A258" s="28" t="n"/>
      <c r="B258" s="28" t="n"/>
      <c r="C258" s="28" t="n"/>
      <c r="D258" s="27" t="n"/>
      <c r="E258" s="34" t="n"/>
      <c r="F258" s="35">
        <f>IF(D258="","",D258+IF(E258="",Setup!$B$10,E258))</f>
        <v/>
      </c>
      <c r="G258" s="29" t="n"/>
      <c r="H258" s="29" t="n"/>
      <c r="I258" s="26">
        <f>IF(G258="","",G258-N(H258))</f>
        <v/>
      </c>
      <c r="J258" s="27" t="n"/>
      <c r="K258" s="24">
        <f>IF(G258="","",IF(I258&lt;=0,"Paid",IF(TODAY()&gt;F258,"Overdue","Open")))</f>
        <v/>
      </c>
      <c r="L258" s="33">
        <f>IF(K258="Overdue",TODAY()-F258,"")</f>
        <v/>
      </c>
      <c r="M258" s="28" t="n"/>
    </row>
    <row r="259">
      <c r="A259" s="28" t="n"/>
      <c r="B259" s="28" t="n"/>
      <c r="C259" s="28" t="n"/>
      <c r="D259" s="27" t="n"/>
      <c r="E259" s="34" t="n"/>
      <c r="F259" s="35">
        <f>IF(D259="","",D259+IF(E259="",Setup!$B$10,E259))</f>
        <v/>
      </c>
      <c r="G259" s="29" t="n"/>
      <c r="H259" s="29" t="n"/>
      <c r="I259" s="26">
        <f>IF(G259="","",G259-N(H259))</f>
        <v/>
      </c>
      <c r="J259" s="27" t="n"/>
      <c r="K259" s="24">
        <f>IF(G259="","",IF(I259&lt;=0,"Paid",IF(TODAY()&gt;F259,"Overdue","Open")))</f>
        <v/>
      </c>
      <c r="L259" s="33">
        <f>IF(K259="Overdue",TODAY()-F259,"")</f>
        <v/>
      </c>
      <c r="M259" s="28" t="n"/>
    </row>
    <row r="260">
      <c r="A260" s="28" t="n"/>
      <c r="B260" s="28" t="n"/>
      <c r="C260" s="28" t="n"/>
      <c r="D260" s="27" t="n"/>
      <c r="E260" s="34" t="n"/>
      <c r="F260" s="35">
        <f>IF(D260="","",D260+IF(E260="",Setup!$B$10,E260))</f>
        <v/>
      </c>
      <c r="G260" s="29" t="n"/>
      <c r="H260" s="29" t="n"/>
      <c r="I260" s="26">
        <f>IF(G260="","",G260-N(H260))</f>
        <v/>
      </c>
      <c r="J260" s="27" t="n"/>
      <c r="K260" s="24">
        <f>IF(G260="","",IF(I260&lt;=0,"Paid",IF(TODAY()&gt;F260,"Overdue","Open")))</f>
        <v/>
      </c>
      <c r="L260" s="33">
        <f>IF(K260="Overdue",TODAY()-F260,"")</f>
        <v/>
      </c>
      <c r="M260" s="28" t="n"/>
    </row>
    <row r="261">
      <c r="A261" s="28" t="n"/>
      <c r="B261" s="28" t="n"/>
      <c r="C261" s="28" t="n"/>
      <c r="D261" s="27" t="n"/>
      <c r="E261" s="34" t="n"/>
      <c r="F261" s="35">
        <f>IF(D261="","",D261+IF(E261="",Setup!$B$10,E261))</f>
        <v/>
      </c>
      <c r="G261" s="29" t="n"/>
      <c r="H261" s="29" t="n"/>
      <c r="I261" s="26">
        <f>IF(G261="","",G261-N(H261))</f>
        <v/>
      </c>
      <c r="J261" s="27" t="n"/>
      <c r="K261" s="24">
        <f>IF(G261="","",IF(I261&lt;=0,"Paid",IF(TODAY()&gt;F261,"Overdue","Open")))</f>
        <v/>
      </c>
      <c r="L261" s="33">
        <f>IF(K261="Overdue",TODAY()-F261,"")</f>
        <v/>
      </c>
      <c r="M261" s="28" t="n"/>
    </row>
    <row r="262">
      <c r="A262" s="28" t="n"/>
      <c r="B262" s="28" t="n"/>
      <c r="C262" s="28" t="n"/>
      <c r="D262" s="27" t="n"/>
      <c r="E262" s="34" t="n"/>
      <c r="F262" s="35">
        <f>IF(D262="","",D262+IF(E262="",Setup!$B$10,E262))</f>
        <v/>
      </c>
      <c r="G262" s="29" t="n"/>
      <c r="H262" s="29" t="n"/>
      <c r="I262" s="26">
        <f>IF(G262="","",G262-N(H262))</f>
        <v/>
      </c>
      <c r="J262" s="27" t="n"/>
      <c r="K262" s="24">
        <f>IF(G262="","",IF(I262&lt;=0,"Paid",IF(TODAY()&gt;F262,"Overdue","Open")))</f>
        <v/>
      </c>
      <c r="L262" s="33">
        <f>IF(K262="Overdue",TODAY()-F262,"")</f>
        <v/>
      </c>
      <c r="M262" s="28" t="n"/>
    </row>
    <row r="263">
      <c r="A263" s="28" t="n"/>
      <c r="B263" s="28" t="n"/>
      <c r="C263" s="28" t="n"/>
      <c r="D263" s="27" t="n"/>
      <c r="E263" s="34" t="n"/>
      <c r="F263" s="35">
        <f>IF(D263="","",D263+IF(E263="",Setup!$B$10,E263))</f>
        <v/>
      </c>
      <c r="G263" s="29" t="n"/>
      <c r="H263" s="29" t="n"/>
      <c r="I263" s="26">
        <f>IF(G263="","",G263-N(H263))</f>
        <v/>
      </c>
      <c r="J263" s="27" t="n"/>
      <c r="K263" s="24">
        <f>IF(G263="","",IF(I263&lt;=0,"Paid",IF(TODAY()&gt;F263,"Overdue","Open")))</f>
        <v/>
      </c>
      <c r="L263" s="33">
        <f>IF(K263="Overdue",TODAY()-F263,"")</f>
        <v/>
      </c>
      <c r="M263" s="28" t="n"/>
    </row>
    <row r="264">
      <c r="A264" s="28" t="n"/>
      <c r="B264" s="28" t="n"/>
      <c r="C264" s="28" t="n"/>
      <c r="D264" s="27" t="n"/>
      <c r="E264" s="34" t="n"/>
      <c r="F264" s="35">
        <f>IF(D264="","",D264+IF(E264="",Setup!$B$10,E264))</f>
        <v/>
      </c>
      <c r="G264" s="29" t="n"/>
      <c r="H264" s="29" t="n"/>
      <c r="I264" s="26">
        <f>IF(G264="","",G264-N(H264))</f>
        <v/>
      </c>
      <c r="J264" s="27" t="n"/>
      <c r="K264" s="24">
        <f>IF(G264="","",IF(I264&lt;=0,"Paid",IF(TODAY()&gt;F264,"Overdue","Open")))</f>
        <v/>
      </c>
      <c r="L264" s="33">
        <f>IF(K264="Overdue",TODAY()-F264,"")</f>
        <v/>
      </c>
      <c r="M264" s="28" t="n"/>
    </row>
    <row r="265">
      <c r="A265" s="28" t="n"/>
      <c r="B265" s="28" t="n"/>
      <c r="C265" s="28" t="n"/>
      <c r="D265" s="27" t="n"/>
      <c r="E265" s="34" t="n"/>
      <c r="F265" s="35">
        <f>IF(D265="","",D265+IF(E265="",Setup!$B$10,E265))</f>
        <v/>
      </c>
      <c r="G265" s="29" t="n"/>
      <c r="H265" s="29" t="n"/>
      <c r="I265" s="26">
        <f>IF(G265="","",G265-N(H265))</f>
        <v/>
      </c>
      <c r="J265" s="27" t="n"/>
      <c r="K265" s="24">
        <f>IF(G265="","",IF(I265&lt;=0,"Paid",IF(TODAY()&gt;F265,"Overdue","Open")))</f>
        <v/>
      </c>
      <c r="L265" s="33">
        <f>IF(K265="Overdue",TODAY()-F265,"")</f>
        <v/>
      </c>
      <c r="M265" s="28" t="n"/>
    </row>
    <row r="266">
      <c r="A266" s="28" t="n"/>
      <c r="B266" s="28" t="n"/>
      <c r="C266" s="28" t="n"/>
      <c r="D266" s="27" t="n"/>
      <c r="E266" s="34" t="n"/>
      <c r="F266" s="35">
        <f>IF(D266="","",D266+IF(E266="",Setup!$B$10,E266))</f>
        <v/>
      </c>
      <c r="G266" s="29" t="n"/>
      <c r="H266" s="29" t="n"/>
      <c r="I266" s="26">
        <f>IF(G266="","",G266-N(H266))</f>
        <v/>
      </c>
      <c r="J266" s="27" t="n"/>
      <c r="K266" s="24">
        <f>IF(G266="","",IF(I266&lt;=0,"Paid",IF(TODAY()&gt;F266,"Overdue","Open")))</f>
        <v/>
      </c>
      <c r="L266" s="33">
        <f>IF(K266="Overdue",TODAY()-F266,"")</f>
        <v/>
      </c>
      <c r="M266" s="28" t="n"/>
    </row>
    <row r="267">
      <c r="A267" s="28" t="n"/>
      <c r="B267" s="28" t="n"/>
      <c r="C267" s="28" t="n"/>
      <c r="D267" s="27" t="n"/>
      <c r="E267" s="34" t="n"/>
      <c r="F267" s="35">
        <f>IF(D267="","",D267+IF(E267="",Setup!$B$10,E267))</f>
        <v/>
      </c>
      <c r="G267" s="29" t="n"/>
      <c r="H267" s="29" t="n"/>
      <c r="I267" s="26">
        <f>IF(G267="","",G267-N(H267))</f>
        <v/>
      </c>
      <c r="J267" s="27" t="n"/>
      <c r="K267" s="24">
        <f>IF(G267="","",IF(I267&lt;=0,"Paid",IF(TODAY()&gt;F267,"Overdue","Open")))</f>
        <v/>
      </c>
      <c r="L267" s="33">
        <f>IF(K267="Overdue",TODAY()-F267,"")</f>
        <v/>
      </c>
      <c r="M267" s="28" t="n"/>
    </row>
    <row r="268">
      <c r="A268" s="28" t="n"/>
      <c r="B268" s="28" t="n"/>
      <c r="C268" s="28" t="n"/>
      <c r="D268" s="27" t="n"/>
      <c r="E268" s="34" t="n"/>
      <c r="F268" s="35">
        <f>IF(D268="","",D268+IF(E268="",Setup!$B$10,E268))</f>
        <v/>
      </c>
      <c r="G268" s="29" t="n"/>
      <c r="H268" s="29" t="n"/>
      <c r="I268" s="26">
        <f>IF(G268="","",G268-N(H268))</f>
        <v/>
      </c>
      <c r="J268" s="27" t="n"/>
      <c r="K268" s="24">
        <f>IF(G268="","",IF(I268&lt;=0,"Paid",IF(TODAY()&gt;F268,"Overdue","Open")))</f>
        <v/>
      </c>
      <c r="L268" s="33">
        <f>IF(K268="Overdue",TODAY()-F268,"")</f>
        <v/>
      </c>
      <c r="M268" s="28" t="n"/>
    </row>
    <row r="269">
      <c r="A269" s="28" t="n"/>
      <c r="B269" s="28" t="n"/>
      <c r="C269" s="28" t="n"/>
      <c r="D269" s="27" t="n"/>
      <c r="E269" s="34" t="n"/>
      <c r="F269" s="35">
        <f>IF(D269="","",D269+IF(E269="",Setup!$B$10,E269))</f>
        <v/>
      </c>
      <c r="G269" s="29" t="n"/>
      <c r="H269" s="29" t="n"/>
      <c r="I269" s="26">
        <f>IF(G269="","",G269-N(H269))</f>
        <v/>
      </c>
      <c r="J269" s="27" t="n"/>
      <c r="K269" s="24">
        <f>IF(G269="","",IF(I269&lt;=0,"Paid",IF(TODAY()&gt;F269,"Overdue","Open")))</f>
        <v/>
      </c>
      <c r="L269" s="33">
        <f>IF(K269="Overdue",TODAY()-F269,"")</f>
        <v/>
      </c>
      <c r="M269" s="28" t="n"/>
    </row>
    <row r="270">
      <c r="A270" s="28" t="n"/>
      <c r="B270" s="28" t="n"/>
      <c r="C270" s="28" t="n"/>
      <c r="D270" s="27" t="n"/>
      <c r="E270" s="34" t="n"/>
      <c r="F270" s="35">
        <f>IF(D270="","",D270+IF(E270="",Setup!$B$10,E270))</f>
        <v/>
      </c>
      <c r="G270" s="29" t="n"/>
      <c r="H270" s="29" t="n"/>
      <c r="I270" s="26">
        <f>IF(G270="","",G270-N(H270))</f>
        <v/>
      </c>
      <c r="J270" s="27" t="n"/>
      <c r="K270" s="24">
        <f>IF(G270="","",IF(I270&lt;=0,"Paid",IF(TODAY()&gt;F270,"Overdue","Open")))</f>
        <v/>
      </c>
      <c r="L270" s="33">
        <f>IF(K270="Overdue",TODAY()-F270,"")</f>
        <v/>
      </c>
      <c r="M270" s="28" t="n"/>
    </row>
    <row r="271">
      <c r="A271" s="28" t="n"/>
      <c r="B271" s="28" t="n"/>
      <c r="C271" s="28" t="n"/>
      <c r="D271" s="27" t="n"/>
      <c r="E271" s="34" t="n"/>
      <c r="F271" s="35">
        <f>IF(D271="","",D271+IF(E271="",Setup!$B$10,E271))</f>
        <v/>
      </c>
      <c r="G271" s="29" t="n"/>
      <c r="H271" s="29" t="n"/>
      <c r="I271" s="26">
        <f>IF(G271="","",G271-N(H271))</f>
        <v/>
      </c>
      <c r="J271" s="27" t="n"/>
      <c r="K271" s="24">
        <f>IF(G271="","",IF(I271&lt;=0,"Paid",IF(TODAY()&gt;F271,"Overdue","Open")))</f>
        <v/>
      </c>
      <c r="L271" s="33">
        <f>IF(K271="Overdue",TODAY()-F271,"")</f>
        <v/>
      </c>
      <c r="M271" s="28" t="n"/>
    </row>
    <row r="272">
      <c r="A272" s="28" t="n"/>
      <c r="B272" s="28" t="n"/>
      <c r="C272" s="28" t="n"/>
      <c r="D272" s="27" t="n"/>
      <c r="E272" s="34" t="n"/>
      <c r="F272" s="35">
        <f>IF(D272="","",D272+IF(E272="",Setup!$B$10,E272))</f>
        <v/>
      </c>
      <c r="G272" s="29" t="n"/>
      <c r="H272" s="29" t="n"/>
      <c r="I272" s="26">
        <f>IF(G272="","",G272-N(H272))</f>
        <v/>
      </c>
      <c r="J272" s="27" t="n"/>
      <c r="K272" s="24">
        <f>IF(G272="","",IF(I272&lt;=0,"Paid",IF(TODAY()&gt;F272,"Overdue","Open")))</f>
        <v/>
      </c>
      <c r="L272" s="33">
        <f>IF(K272="Overdue",TODAY()-F272,"")</f>
        <v/>
      </c>
      <c r="M272" s="28" t="n"/>
    </row>
    <row r="273">
      <c r="A273" s="28" t="n"/>
      <c r="B273" s="28" t="n"/>
      <c r="C273" s="28" t="n"/>
      <c r="D273" s="27" t="n"/>
      <c r="E273" s="34" t="n"/>
      <c r="F273" s="35">
        <f>IF(D273="","",D273+IF(E273="",Setup!$B$10,E273))</f>
        <v/>
      </c>
      <c r="G273" s="29" t="n"/>
      <c r="H273" s="29" t="n"/>
      <c r="I273" s="26">
        <f>IF(G273="","",G273-N(H273))</f>
        <v/>
      </c>
      <c r="J273" s="27" t="n"/>
      <c r="K273" s="24">
        <f>IF(G273="","",IF(I273&lt;=0,"Paid",IF(TODAY()&gt;F273,"Overdue","Open")))</f>
        <v/>
      </c>
      <c r="L273" s="33">
        <f>IF(K273="Overdue",TODAY()-F273,"")</f>
        <v/>
      </c>
      <c r="M273" s="28" t="n"/>
    </row>
    <row r="274">
      <c r="A274" s="28" t="n"/>
      <c r="B274" s="28" t="n"/>
      <c r="C274" s="28" t="n"/>
      <c r="D274" s="27" t="n"/>
      <c r="E274" s="34" t="n"/>
      <c r="F274" s="35">
        <f>IF(D274="","",D274+IF(E274="",Setup!$B$10,E274))</f>
        <v/>
      </c>
      <c r="G274" s="29" t="n"/>
      <c r="H274" s="29" t="n"/>
      <c r="I274" s="26">
        <f>IF(G274="","",G274-N(H274))</f>
        <v/>
      </c>
      <c r="J274" s="27" t="n"/>
      <c r="K274" s="24">
        <f>IF(G274="","",IF(I274&lt;=0,"Paid",IF(TODAY()&gt;F274,"Overdue","Open")))</f>
        <v/>
      </c>
      <c r="L274" s="33">
        <f>IF(K274="Overdue",TODAY()-F274,"")</f>
        <v/>
      </c>
      <c r="M274" s="28" t="n"/>
    </row>
    <row r="275">
      <c r="A275" s="28" t="n"/>
      <c r="B275" s="28" t="n"/>
      <c r="C275" s="28" t="n"/>
      <c r="D275" s="27" t="n"/>
      <c r="E275" s="34" t="n"/>
      <c r="F275" s="35">
        <f>IF(D275="","",D275+IF(E275="",Setup!$B$10,E275))</f>
        <v/>
      </c>
      <c r="G275" s="29" t="n"/>
      <c r="H275" s="29" t="n"/>
      <c r="I275" s="26">
        <f>IF(G275="","",G275-N(H275))</f>
        <v/>
      </c>
      <c r="J275" s="27" t="n"/>
      <c r="K275" s="24">
        <f>IF(G275="","",IF(I275&lt;=0,"Paid",IF(TODAY()&gt;F275,"Overdue","Open")))</f>
        <v/>
      </c>
      <c r="L275" s="33">
        <f>IF(K275="Overdue",TODAY()-F275,"")</f>
        <v/>
      </c>
      <c r="M275" s="28" t="n"/>
    </row>
    <row r="276">
      <c r="A276" s="28" t="n"/>
      <c r="B276" s="28" t="n"/>
      <c r="C276" s="28" t="n"/>
      <c r="D276" s="27" t="n"/>
      <c r="E276" s="34" t="n"/>
      <c r="F276" s="35">
        <f>IF(D276="","",D276+IF(E276="",Setup!$B$10,E276))</f>
        <v/>
      </c>
      <c r="G276" s="29" t="n"/>
      <c r="H276" s="29" t="n"/>
      <c r="I276" s="26">
        <f>IF(G276="","",G276-N(H276))</f>
        <v/>
      </c>
      <c r="J276" s="27" t="n"/>
      <c r="K276" s="24">
        <f>IF(G276="","",IF(I276&lt;=0,"Paid",IF(TODAY()&gt;F276,"Overdue","Open")))</f>
        <v/>
      </c>
      <c r="L276" s="33">
        <f>IF(K276="Overdue",TODAY()-F276,"")</f>
        <v/>
      </c>
      <c r="M276" s="28" t="n"/>
    </row>
    <row r="277">
      <c r="A277" s="28" t="n"/>
      <c r="B277" s="28" t="n"/>
      <c r="C277" s="28" t="n"/>
      <c r="D277" s="27" t="n"/>
      <c r="E277" s="34" t="n"/>
      <c r="F277" s="35">
        <f>IF(D277="","",D277+IF(E277="",Setup!$B$10,E277))</f>
        <v/>
      </c>
      <c r="G277" s="29" t="n"/>
      <c r="H277" s="29" t="n"/>
      <c r="I277" s="26">
        <f>IF(G277="","",G277-N(H277))</f>
        <v/>
      </c>
      <c r="J277" s="27" t="n"/>
      <c r="K277" s="24">
        <f>IF(G277="","",IF(I277&lt;=0,"Paid",IF(TODAY()&gt;F277,"Overdue","Open")))</f>
        <v/>
      </c>
      <c r="L277" s="33">
        <f>IF(K277="Overdue",TODAY()-F277,"")</f>
        <v/>
      </c>
      <c r="M277" s="28" t="n"/>
    </row>
    <row r="278">
      <c r="A278" s="28" t="n"/>
      <c r="B278" s="28" t="n"/>
      <c r="C278" s="28" t="n"/>
      <c r="D278" s="27" t="n"/>
      <c r="E278" s="34" t="n"/>
      <c r="F278" s="35">
        <f>IF(D278="","",D278+IF(E278="",Setup!$B$10,E278))</f>
        <v/>
      </c>
      <c r="G278" s="29" t="n"/>
      <c r="H278" s="29" t="n"/>
      <c r="I278" s="26">
        <f>IF(G278="","",G278-N(H278))</f>
        <v/>
      </c>
      <c r="J278" s="27" t="n"/>
      <c r="K278" s="24">
        <f>IF(G278="","",IF(I278&lt;=0,"Paid",IF(TODAY()&gt;F278,"Overdue","Open")))</f>
        <v/>
      </c>
      <c r="L278" s="33">
        <f>IF(K278="Overdue",TODAY()-F278,"")</f>
        <v/>
      </c>
      <c r="M278" s="28" t="n"/>
    </row>
    <row r="279">
      <c r="A279" s="28" t="n"/>
      <c r="B279" s="28" t="n"/>
      <c r="C279" s="28" t="n"/>
      <c r="D279" s="27" t="n"/>
      <c r="E279" s="34" t="n"/>
      <c r="F279" s="35">
        <f>IF(D279="","",D279+IF(E279="",Setup!$B$10,E279))</f>
        <v/>
      </c>
      <c r="G279" s="29" t="n"/>
      <c r="H279" s="29" t="n"/>
      <c r="I279" s="26">
        <f>IF(G279="","",G279-N(H279))</f>
        <v/>
      </c>
      <c r="J279" s="27" t="n"/>
      <c r="K279" s="24">
        <f>IF(G279="","",IF(I279&lt;=0,"Paid",IF(TODAY()&gt;F279,"Overdue","Open")))</f>
        <v/>
      </c>
      <c r="L279" s="33">
        <f>IF(K279="Overdue",TODAY()-F279,"")</f>
        <v/>
      </c>
      <c r="M279" s="28" t="n"/>
    </row>
    <row r="280">
      <c r="A280" s="28" t="n"/>
      <c r="B280" s="28" t="n"/>
      <c r="C280" s="28" t="n"/>
      <c r="D280" s="27" t="n"/>
      <c r="E280" s="34" t="n"/>
      <c r="F280" s="35">
        <f>IF(D280="","",D280+IF(E280="",Setup!$B$10,E280))</f>
        <v/>
      </c>
      <c r="G280" s="29" t="n"/>
      <c r="H280" s="29" t="n"/>
      <c r="I280" s="26">
        <f>IF(G280="","",G280-N(H280))</f>
        <v/>
      </c>
      <c r="J280" s="27" t="n"/>
      <c r="K280" s="24">
        <f>IF(G280="","",IF(I280&lt;=0,"Paid",IF(TODAY()&gt;F280,"Overdue","Open")))</f>
        <v/>
      </c>
      <c r="L280" s="33">
        <f>IF(K280="Overdue",TODAY()-F280,"")</f>
        <v/>
      </c>
      <c r="M280" s="28" t="n"/>
    </row>
    <row r="281">
      <c r="A281" s="28" t="n"/>
      <c r="B281" s="28" t="n"/>
      <c r="C281" s="28" t="n"/>
      <c r="D281" s="27" t="n"/>
      <c r="E281" s="34" t="n"/>
      <c r="F281" s="35">
        <f>IF(D281="","",D281+IF(E281="",Setup!$B$10,E281))</f>
        <v/>
      </c>
      <c r="G281" s="29" t="n"/>
      <c r="H281" s="29" t="n"/>
      <c r="I281" s="26">
        <f>IF(G281="","",G281-N(H281))</f>
        <v/>
      </c>
      <c r="J281" s="27" t="n"/>
      <c r="K281" s="24">
        <f>IF(G281="","",IF(I281&lt;=0,"Paid",IF(TODAY()&gt;F281,"Overdue","Open")))</f>
        <v/>
      </c>
      <c r="L281" s="33">
        <f>IF(K281="Overdue",TODAY()-F281,"")</f>
        <v/>
      </c>
      <c r="M281" s="28" t="n"/>
    </row>
    <row r="282">
      <c r="A282" s="28" t="n"/>
      <c r="B282" s="28" t="n"/>
      <c r="C282" s="28" t="n"/>
      <c r="D282" s="27" t="n"/>
      <c r="E282" s="34" t="n"/>
      <c r="F282" s="35">
        <f>IF(D282="","",D282+IF(E282="",Setup!$B$10,E282))</f>
        <v/>
      </c>
      <c r="G282" s="29" t="n"/>
      <c r="H282" s="29" t="n"/>
      <c r="I282" s="26">
        <f>IF(G282="","",G282-N(H282))</f>
        <v/>
      </c>
      <c r="J282" s="27" t="n"/>
      <c r="K282" s="24">
        <f>IF(G282="","",IF(I282&lt;=0,"Paid",IF(TODAY()&gt;F282,"Overdue","Open")))</f>
        <v/>
      </c>
      <c r="L282" s="33">
        <f>IF(K282="Overdue",TODAY()-F282,"")</f>
        <v/>
      </c>
      <c r="M282" s="28" t="n"/>
    </row>
    <row r="283">
      <c r="A283" s="28" t="n"/>
      <c r="B283" s="28" t="n"/>
      <c r="C283" s="28" t="n"/>
      <c r="D283" s="27" t="n"/>
      <c r="E283" s="34" t="n"/>
      <c r="F283" s="35">
        <f>IF(D283="","",D283+IF(E283="",Setup!$B$10,E283))</f>
        <v/>
      </c>
      <c r="G283" s="29" t="n"/>
      <c r="H283" s="29" t="n"/>
      <c r="I283" s="26">
        <f>IF(G283="","",G283-N(H283))</f>
        <v/>
      </c>
      <c r="J283" s="27" t="n"/>
      <c r="K283" s="24">
        <f>IF(G283="","",IF(I283&lt;=0,"Paid",IF(TODAY()&gt;F283,"Overdue","Open")))</f>
        <v/>
      </c>
      <c r="L283" s="33">
        <f>IF(K283="Overdue",TODAY()-F283,"")</f>
        <v/>
      </c>
      <c r="M283" s="28" t="n"/>
    </row>
    <row r="284">
      <c r="A284" s="28" t="n"/>
      <c r="B284" s="28" t="n"/>
      <c r="C284" s="28" t="n"/>
      <c r="D284" s="27" t="n"/>
      <c r="E284" s="34" t="n"/>
      <c r="F284" s="35">
        <f>IF(D284="","",D284+IF(E284="",Setup!$B$10,E284))</f>
        <v/>
      </c>
      <c r="G284" s="29" t="n"/>
      <c r="H284" s="29" t="n"/>
      <c r="I284" s="26">
        <f>IF(G284="","",G284-N(H284))</f>
        <v/>
      </c>
      <c r="J284" s="27" t="n"/>
      <c r="K284" s="24">
        <f>IF(G284="","",IF(I284&lt;=0,"Paid",IF(TODAY()&gt;F284,"Overdue","Open")))</f>
        <v/>
      </c>
      <c r="L284" s="33">
        <f>IF(K284="Overdue",TODAY()-F284,"")</f>
        <v/>
      </c>
      <c r="M284" s="28" t="n"/>
    </row>
    <row r="285">
      <c r="A285" s="28" t="n"/>
      <c r="B285" s="28" t="n"/>
      <c r="C285" s="28" t="n"/>
      <c r="D285" s="27" t="n"/>
      <c r="E285" s="34" t="n"/>
      <c r="F285" s="35">
        <f>IF(D285="","",D285+IF(E285="",Setup!$B$10,E285))</f>
        <v/>
      </c>
      <c r="G285" s="29" t="n"/>
      <c r="H285" s="29" t="n"/>
      <c r="I285" s="26">
        <f>IF(G285="","",G285-N(H285))</f>
        <v/>
      </c>
      <c r="J285" s="27" t="n"/>
      <c r="K285" s="24">
        <f>IF(G285="","",IF(I285&lt;=0,"Paid",IF(TODAY()&gt;F285,"Overdue","Open")))</f>
        <v/>
      </c>
      <c r="L285" s="33">
        <f>IF(K285="Overdue",TODAY()-F285,"")</f>
        <v/>
      </c>
      <c r="M285" s="28" t="n"/>
    </row>
    <row r="286">
      <c r="A286" s="28" t="n"/>
      <c r="B286" s="28" t="n"/>
      <c r="C286" s="28" t="n"/>
      <c r="D286" s="27" t="n"/>
      <c r="E286" s="34" t="n"/>
      <c r="F286" s="35">
        <f>IF(D286="","",D286+IF(E286="",Setup!$B$10,E286))</f>
        <v/>
      </c>
      <c r="G286" s="29" t="n"/>
      <c r="H286" s="29" t="n"/>
      <c r="I286" s="26">
        <f>IF(G286="","",G286-N(H286))</f>
        <v/>
      </c>
      <c r="J286" s="27" t="n"/>
      <c r="K286" s="24">
        <f>IF(G286="","",IF(I286&lt;=0,"Paid",IF(TODAY()&gt;F286,"Overdue","Open")))</f>
        <v/>
      </c>
      <c r="L286" s="33">
        <f>IF(K286="Overdue",TODAY()-F286,"")</f>
        <v/>
      </c>
      <c r="M286" s="28" t="n"/>
    </row>
    <row r="287">
      <c r="A287" s="28" t="n"/>
      <c r="B287" s="28" t="n"/>
      <c r="C287" s="28" t="n"/>
      <c r="D287" s="27" t="n"/>
      <c r="E287" s="34" t="n"/>
      <c r="F287" s="35">
        <f>IF(D287="","",D287+IF(E287="",Setup!$B$10,E287))</f>
        <v/>
      </c>
      <c r="G287" s="29" t="n"/>
      <c r="H287" s="29" t="n"/>
      <c r="I287" s="26">
        <f>IF(G287="","",G287-N(H287))</f>
        <v/>
      </c>
      <c r="J287" s="27" t="n"/>
      <c r="K287" s="24">
        <f>IF(G287="","",IF(I287&lt;=0,"Paid",IF(TODAY()&gt;F287,"Overdue","Open")))</f>
        <v/>
      </c>
      <c r="L287" s="33">
        <f>IF(K287="Overdue",TODAY()-F287,"")</f>
        <v/>
      </c>
      <c r="M287" s="28" t="n"/>
    </row>
    <row r="288">
      <c r="A288" s="28" t="n"/>
      <c r="B288" s="28" t="n"/>
      <c r="C288" s="28" t="n"/>
      <c r="D288" s="27" t="n"/>
      <c r="E288" s="34" t="n"/>
      <c r="F288" s="35">
        <f>IF(D288="","",D288+IF(E288="",Setup!$B$10,E288))</f>
        <v/>
      </c>
      <c r="G288" s="29" t="n"/>
      <c r="H288" s="29" t="n"/>
      <c r="I288" s="26">
        <f>IF(G288="","",G288-N(H288))</f>
        <v/>
      </c>
      <c r="J288" s="27" t="n"/>
      <c r="K288" s="24">
        <f>IF(G288="","",IF(I288&lt;=0,"Paid",IF(TODAY()&gt;F288,"Overdue","Open")))</f>
        <v/>
      </c>
      <c r="L288" s="33">
        <f>IF(K288="Overdue",TODAY()-F288,"")</f>
        <v/>
      </c>
      <c r="M288" s="28" t="n"/>
    </row>
    <row r="289">
      <c r="A289" s="28" t="n"/>
      <c r="B289" s="28" t="n"/>
      <c r="C289" s="28" t="n"/>
      <c r="D289" s="27" t="n"/>
      <c r="E289" s="34" t="n"/>
      <c r="F289" s="35">
        <f>IF(D289="","",D289+IF(E289="",Setup!$B$10,E289))</f>
        <v/>
      </c>
      <c r="G289" s="29" t="n"/>
      <c r="H289" s="29" t="n"/>
      <c r="I289" s="26">
        <f>IF(G289="","",G289-N(H289))</f>
        <v/>
      </c>
      <c r="J289" s="27" t="n"/>
      <c r="K289" s="24">
        <f>IF(G289="","",IF(I289&lt;=0,"Paid",IF(TODAY()&gt;F289,"Overdue","Open")))</f>
        <v/>
      </c>
      <c r="L289" s="33">
        <f>IF(K289="Overdue",TODAY()-F289,"")</f>
        <v/>
      </c>
      <c r="M289" s="28" t="n"/>
    </row>
    <row r="290">
      <c r="A290" s="28" t="n"/>
      <c r="B290" s="28" t="n"/>
      <c r="C290" s="28" t="n"/>
      <c r="D290" s="27" t="n"/>
      <c r="E290" s="34" t="n"/>
      <c r="F290" s="35">
        <f>IF(D290="","",D290+IF(E290="",Setup!$B$10,E290))</f>
        <v/>
      </c>
      <c r="G290" s="29" t="n"/>
      <c r="H290" s="29" t="n"/>
      <c r="I290" s="26">
        <f>IF(G290="","",G290-N(H290))</f>
        <v/>
      </c>
      <c r="J290" s="27" t="n"/>
      <c r="K290" s="24">
        <f>IF(G290="","",IF(I290&lt;=0,"Paid",IF(TODAY()&gt;F290,"Overdue","Open")))</f>
        <v/>
      </c>
      <c r="L290" s="33">
        <f>IF(K290="Overdue",TODAY()-F290,"")</f>
        <v/>
      </c>
      <c r="M290" s="28" t="n"/>
    </row>
    <row r="291">
      <c r="A291" s="28" t="n"/>
      <c r="B291" s="28" t="n"/>
      <c r="C291" s="28" t="n"/>
      <c r="D291" s="27" t="n"/>
      <c r="E291" s="34" t="n"/>
      <c r="F291" s="35">
        <f>IF(D291="","",D291+IF(E291="",Setup!$B$10,E291))</f>
        <v/>
      </c>
      <c r="G291" s="29" t="n"/>
      <c r="H291" s="29" t="n"/>
      <c r="I291" s="26">
        <f>IF(G291="","",G291-N(H291))</f>
        <v/>
      </c>
      <c r="J291" s="27" t="n"/>
      <c r="K291" s="24">
        <f>IF(G291="","",IF(I291&lt;=0,"Paid",IF(TODAY()&gt;F291,"Overdue","Open")))</f>
        <v/>
      </c>
      <c r="L291" s="33">
        <f>IF(K291="Overdue",TODAY()-F291,"")</f>
        <v/>
      </c>
      <c r="M291" s="28" t="n"/>
    </row>
    <row r="292">
      <c r="A292" s="28" t="n"/>
      <c r="B292" s="28" t="n"/>
      <c r="C292" s="28" t="n"/>
      <c r="D292" s="27" t="n"/>
      <c r="E292" s="34" t="n"/>
      <c r="F292" s="35">
        <f>IF(D292="","",D292+IF(E292="",Setup!$B$10,E292))</f>
        <v/>
      </c>
      <c r="G292" s="29" t="n"/>
      <c r="H292" s="29" t="n"/>
      <c r="I292" s="26">
        <f>IF(G292="","",G292-N(H292))</f>
        <v/>
      </c>
      <c r="J292" s="27" t="n"/>
      <c r="K292" s="24">
        <f>IF(G292="","",IF(I292&lt;=0,"Paid",IF(TODAY()&gt;F292,"Overdue","Open")))</f>
        <v/>
      </c>
      <c r="L292" s="33">
        <f>IF(K292="Overdue",TODAY()-F292,"")</f>
        <v/>
      </c>
      <c r="M292" s="28" t="n"/>
    </row>
    <row r="293">
      <c r="A293" s="28" t="n"/>
      <c r="B293" s="28" t="n"/>
      <c r="C293" s="28" t="n"/>
      <c r="D293" s="27" t="n"/>
      <c r="E293" s="34" t="n"/>
      <c r="F293" s="35">
        <f>IF(D293="","",D293+IF(E293="",Setup!$B$10,E293))</f>
        <v/>
      </c>
      <c r="G293" s="29" t="n"/>
      <c r="H293" s="29" t="n"/>
      <c r="I293" s="26">
        <f>IF(G293="","",G293-N(H293))</f>
        <v/>
      </c>
      <c r="J293" s="27" t="n"/>
      <c r="K293" s="24">
        <f>IF(G293="","",IF(I293&lt;=0,"Paid",IF(TODAY()&gt;F293,"Overdue","Open")))</f>
        <v/>
      </c>
      <c r="L293" s="33">
        <f>IF(K293="Overdue",TODAY()-F293,"")</f>
        <v/>
      </c>
      <c r="M293" s="28" t="n"/>
    </row>
    <row r="294">
      <c r="A294" s="28" t="n"/>
      <c r="B294" s="28" t="n"/>
      <c r="C294" s="28" t="n"/>
      <c r="D294" s="27" t="n"/>
      <c r="E294" s="34" t="n"/>
      <c r="F294" s="35">
        <f>IF(D294="","",D294+IF(E294="",Setup!$B$10,E294))</f>
        <v/>
      </c>
      <c r="G294" s="29" t="n"/>
      <c r="H294" s="29" t="n"/>
      <c r="I294" s="26">
        <f>IF(G294="","",G294-N(H294))</f>
        <v/>
      </c>
      <c r="J294" s="27" t="n"/>
      <c r="K294" s="24">
        <f>IF(G294="","",IF(I294&lt;=0,"Paid",IF(TODAY()&gt;F294,"Overdue","Open")))</f>
        <v/>
      </c>
      <c r="L294" s="33">
        <f>IF(K294="Overdue",TODAY()-F294,"")</f>
        <v/>
      </c>
      <c r="M294" s="28" t="n"/>
    </row>
    <row r="295">
      <c r="A295" s="28" t="n"/>
      <c r="B295" s="28" t="n"/>
      <c r="C295" s="28" t="n"/>
      <c r="D295" s="27" t="n"/>
      <c r="E295" s="34" t="n"/>
      <c r="F295" s="35">
        <f>IF(D295="","",D295+IF(E295="",Setup!$B$10,E295))</f>
        <v/>
      </c>
      <c r="G295" s="29" t="n"/>
      <c r="H295" s="29" t="n"/>
      <c r="I295" s="26">
        <f>IF(G295="","",G295-N(H295))</f>
        <v/>
      </c>
      <c r="J295" s="27" t="n"/>
      <c r="K295" s="24">
        <f>IF(G295="","",IF(I295&lt;=0,"Paid",IF(TODAY()&gt;F295,"Overdue","Open")))</f>
        <v/>
      </c>
      <c r="L295" s="33">
        <f>IF(K295="Overdue",TODAY()-F295,"")</f>
        <v/>
      </c>
      <c r="M295" s="28" t="n"/>
    </row>
    <row r="296">
      <c r="A296" s="28" t="n"/>
      <c r="B296" s="28" t="n"/>
      <c r="C296" s="28" t="n"/>
      <c r="D296" s="27" t="n"/>
      <c r="E296" s="34" t="n"/>
      <c r="F296" s="35">
        <f>IF(D296="","",D296+IF(E296="",Setup!$B$10,E296))</f>
        <v/>
      </c>
      <c r="G296" s="29" t="n"/>
      <c r="H296" s="29" t="n"/>
      <c r="I296" s="26">
        <f>IF(G296="","",G296-N(H296))</f>
        <v/>
      </c>
      <c r="J296" s="27" t="n"/>
      <c r="K296" s="24">
        <f>IF(G296="","",IF(I296&lt;=0,"Paid",IF(TODAY()&gt;F296,"Overdue","Open")))</f>
        <v/>
      </c>
      <c r="L296" s="33">
        <f>IF(K296="Overdue",TODAY()-F296,"")</f>
        <v/>
      </c>
      <c r="M296" s="28" t="n"/>
    </row>
    <row r="297">
      <c r="A297" s="28" t="n"/>
      <c r="B297" s="28" t="n"/>
      <c r="C297" s="28" t="n"/>
      <c r="D297" s="27" t="n"/>
      <c r="E297" s="34" t="n"/>
      <c r="F297" s="35">
        <f>IF(D297="","",D297+IF(E297="",Setup!$B$10,E297))</f>
        <v/>
      </c>
      <c r="G297" s="29" t="n"/>
      <c r="H297" s="29" t="n"/>
      <c r="I297" s="26">
        <f>IF(G297="","",G297-N(H297))</f>
        <v/>
      </c>
      <c r="J297" s="27" t="n"/>
      <c r="K297" s="24">
        <f>IF(G297="","",IF(I297&lt;=0,"Paid",IF(TODAY()&gt;F297,"Overdue","Open")))</f>
        <v/>
      </c>
      <c r="L297" s="33">
        <f>IF(K297="Overdue",TODAY()-F297,"")</f>
        <v/>
      </c>
      <c r="M297" s="28" t="n"/>
    </row>
    <row r="298">
      <c r="A298" s="28" t="n"/>
      <c r="B298" s="28" t="n"/>
      <c r="C298" s="28" t="n"/>
      <c r="D298" s="27" t="n"/>
      <c r="E298" s="34" t="n"/>
      <c r="F298" s="35">
        <f>IF(D298="","",D298+IF(E298="",Setup!$B$10,E298))</f>
        <v/>
      </c>
      <c r="G298" s="29" t="n"/>
      <c r="H298" s="29" t="n"/>
      <c r="I298" s="26">
        <f>IF(G298="","",G298-N(H298))</f>
        <v/>
      </c>
      <c r="J298" s="27" t="n"/>
      <c r="K298" s="24">
        <f>IF(G298="","",IF(I298&lt;=0,"Paid",IF(TODAY()&gt;F298,"Overdue","Open")))</f>
        <v/>
      </c>
      <c r="L298" s="33">
        <f>IF(K298="Overdue",TODAY()-F298,"")</f>
        <v/>
      </c>
      <c r="M298" s="28" t="n"/>
    </row>
    <row r="299">
      <c r="A299" s="28" t="n"/>
      <c r="B299" s="28" t="n"/>
      <c r="C299" s="28" t="n"/>
      <c r="D299" s="27" t="n"/>
      <c r="E299" s="34" t="n"/>
      <c r="F299" s="35">
        <f>IF(D299="","",D299+IF(E299="",Setup!$B$10,E299))</f>
        <v/>
      </c>
      <c r="G299" s="29" t="n"/>
      <c r="H299" s="29" t="n"/>
      <c r="I299" s="26">
        <f>IF(G299="","",G299-N(H299))</f>
        <v/>
      </c>
      <c r="J299" s="27" t="n"/>
      <c r="K299" s="24">
        <f>IF(G299="","",IF(I299&lt;=0,"Paid",IF(TODAY()&gt;F299,"Overdue","Open")))</f>
        <v/>
      </c>
      <c r="L299" s="33">
        <f>IF(K299="Overdue",TODAY()-F299,"")</f>
        <v/>
      </c>
      <c r="M299" s="28" t="n"/>
    </row>
    <row r="300">
      <c r="A300" s="28" t="n"/>
      <c r="B300" s="28" t="n"/>
      <c r="C300" s="28" t="n"/>
      <c r="D300" s="27" t="n"/>
      <c r="E300" s="34" t="n"/>
      <c r="F300" s="35">
        <f>IF(D300="","",D300+IF(E300="",Setup!$B$10,E300))</f>
        <v/>
      </c>
      <c r="G300" s="29" t="n"/>
      <c r="H300" s="29" t="n"/>
      <c r="I300" s="26">
        <f>IF(G300="","",G300-N(H300))</f>
        <v/>
      </c>
      <c r="J300" s="27" t="n"/>
      <c r="K300" s="24">
        <f>IF(G300="","",IF(I300&lt;=0,"Paid",IF(TODAY()&gt;F300,"Overdue","Open")))</f>
        <v/>
      </c>
      <c r="L300" s="33">
        <f>IF(K300="Overdue",TODAY()-F300,"")</f>
        <v/>
      </c>
      <c r="M300" s="28" t="n"/>
    </row>
    <row r="301">
      <c r="A301" s="28" t="n"/>
      <c r="B301" s="28" t="n"/>
      <c r="C301" s="28" t="n"/>
      <c r="D301" s="27" t="n"/>
      <c r="E301" s="34" t="n"/>
      <c r="F301" s="35">
        <f>IF(D301="","",D301+IF(E301="",Setup!$B$10,E301))</f>
        <v/>
      </c>
      <c r="G301" s="29" t="n"/>
      <c r="H301" s="29" t="n"/>
      <c r="I301" s="26">
        <f>IF(G301="","",G301-N(H301))</f>
        <v/>
      </c>
      <c r="J301" s="27" t="n"/>
      <c r="K301" s="24">
        <f>IF(G301="","",IF(I301&lt;=0,"Paid",IF(TODAY()&gt;F301,"Overdue","Open")))</f>
        <v/>
      </c>
      <c r="L301" s="33">
        <f>IF(K301="Overdue",TODAY()-F301,"")</f>
        <v/>
      </c>
      <c r="M301" s="28" t="n"/>
    </row>
    <row r="302">
      <c r="A302" s="28" t="n"/>
      <c r="B302" s="28" t="n"/>
      <c r="C302" s="28" t="n"/>
      <c r="D302" s="27" t="n"/>
      <c r="E302" s="34" t="n"/>
      <c r="F302" s="35">
        <f>IF(D302="","",D302+IF(E302="",Setup!$B$10,E302))</f>
        <v/>
      </c>
      <c r="G302" s="29" t="n"/>
      <c r="H302" s="29" t="n"/>
      <c r="I302" s="26">
        <f>IF(G302="","",G302-N(H302))</f>
        <v/>
      </c>
      <c r="J302" s="27" t="n"/>
      <c r="K302" s="24">
        <f>IF(G302="","",IF(I302&lt;=0,"Paid",IF(TODAY()&gt;F302,"Overdue","Open")))</f>
        <v/>
      </c>
      <c r="L302" s="33">
        <f>IF(K302="Overdue",TODAY()-F302,"")</f>
        <v/>
      </c>
      <c r="M302" s="28" t="n"/>
    </row>
    <row r="303">
      <c r="A303" s="28" t="n"/>
      <c r="B303" s="28" t="n"/>
      <c r="C303" s="28" t="n"/>
      <c r="D303" s="27" t="n"/>
      <c r="E303" s="34" t="n"/>
      <c r="F303" s="35">
        <f>IF(D303="","",D303+IF(E303="",Setup!$B$10,E303))</f>
        <v/>
      </c>
      <c r="G303" s="29" t="n"/>
      <c r="H303" s="29" t="n"/>
      <c r="I303" s="26">
        <f>IF(G303="","",G303-N(H303))</f>
        <v/>
      </c>
      <c r="J303" s="27" t="n"/>
      <c r="K303" s="24">
        <f>IF(G303="","",IF(I303&lt;=0,"Paid",IF(TODAY()&gt;F303,"Overdue","Open")))</f>
        <v/>
      </c>
      <c r="L303" s="33">
        <f>IF(K303="Overdue",TODAY()-F303,"")</f>
        <v/>
      </c>
      <c r="M303" s="28" t="n"/>
    </row>
    <row r="304">
      <c r="A304" s="28" t="n"/>
      <c r="B304" s="28" t="n"/>
      <c r="C304" s="28" t="n"/>
      <c r="D304" s="27" t="n"/>
      <c r="E304" s="34" t="n"/>
      <c r="F304" s="35">
        <f>IF(D304="","",D304+IF(E304="",Setup!$B$10,E304))</f>
        <v/>
      </c>
      <c r="G304" s="29" t="n"/>
      <c r="H304" s="29" t="n"/>
      <c r="I304" s="26">
        <f>IF(G304="","",G304-N(H304))</f>
        <v/>
      </c>
      <c r="J304" s="27" t="n"/>
      <c r="K304" s="24">
        <f>IF(G304="","",IF(I304&lt;=0,"Paid",IF(TODAY()&gt;F304,"Overdue","Open")))</f>
        <v/>
      </c>
      <c r="L304" s="33">
        <f>IF(K304="Overdue",TODAY()-F304,"")</f>
        <v/>
      </c>
      <c r="M304" s="28" t="n"/>
    </row>
    <row r="305">
      <c r="A305" s="28" t="n"/>
      <c r="B305" s="28" t="n"/>
      <c r="C305" s="28" t="n"/>
      <c r="D305" s="27" t="n"/>
      <c r="E305" s="34" t="n"/>
      <c r="F305" s="35">
        <f>IF(D305="","",D305+IF(E305="",Setup!$B$10,E305))</f>
        <v/>
      </c>
      <c r="G305" s="29" t="n"/>
      <c r="H305" s="29" t="n"/>
      <c r="I305" s="26">
        <f>IF(G305="","",G305-N(H305))</f>
        <v/>
      </c>
      <c r="J305" s="27" t="n"/>
      <c r="K305" s="24">
        <f>IF(G305="","",IF(I305&lt;=0,"Paid",IF(TODAY()&gt;F305,"Overdue","Open")))</f>
        <v/>
      </c>
      <c r="L305" s="33">
        <f>IF(K305="Overdue",TODAY()-F305,"")</f>
        <v/>
      </c>
      <c r="M305" s="28" t="n"/>
    </row>
    <row r="306">
      <c r="A306" s="28" t="n"/>
      <c r="B306" s="28" t="n"/>
      <c r="C306" s="28" t="n"/>
      <c r="D306" s="27" t="n"/>
      <c r="E306" s="34" t="n"/>
      <c r="F306" s="35">
        <f>IF(D306="","",D306+IF(E306="",Setup!$B$10,E306))</f>
        <v/>
      </c>
      <c r="G306" s="29" t="n"/>
      <c r="H306" s="29" t="n"/>
      <c r="I306" s="26">
        <f>IF(G306="","",G306-N(H306))</f>
        <v/>
      </c>
      <c r="J306" s="27" t="n"/>
      <c r="K306" s="24">
        <f>IF(G306="","",IF(I306&lt;=0,"Paid",IF(TODAY()&gt;F306,"Overdue","Open")))</f>
        <v/>
      </c>
      <c r="L306" s="33">
        <f>IF(K306="Overdue",TODAY()-F306,"")</f>
        <v/>
      </c>
      <c r="M306" s="28" t="n"/>
    </row>
    <row r="307">
      <c r="A307" s="28" t="n"/>
      <c r="B307" s="28" t="n"/>
      <c r="C307" s="28" t="n"/>
      <c r="D307" s="27" t="n"/>
      <c r="E307" s="34" t="n"/>
      <c r="F307" s="35">
        <f>IF(D307="","",D307+IF(E307="",Setup!$B$10,E307))</f>
        <v/>
      </c>
      <c r="G307" s="29" t="n"/>
      <c r="H307" s="29" t="n"/>
      <c r="I307" s="26">
        <f>IF(G307="","",G307-N(H307))</f>
        <v/>
      </c>
      <c r="J307" s="27" t="n"/>
      <c r="K307" s="24">
        <f>IF(G307="","",IF(I307&lt;=0,"Paid",IF(TODAY()&gt;F307,"Overdue","Open")))</f>
        <v/>
      </c>
      <c r="L307" s="33">
        <f>IF(K307="Overdue",TODAY()-F307,"")</f>
        <v/>
      </c>
      <c r="M307" s="28" t="n"/>
    </row>
    <row r="308">
      <c r="A308" s="28" t="n"/>
      <c r="B308" s="28" t="n"/>
      <c r="C308" s="28" t="n"/>
      <c r="D308" s="27" t="n"/>
      <c r="E308" s="34" t="n"/>
      <c r="F308" s="35">
        <f>IF(D308="","",D308+IF(E308="",Setup!$B$10,E308))</f>
        <v/>
      </c>
      <c r="G308" s="29" t="n"/>
      <c r="H308" s="29" t="n"/>
      <c r="I308" s="26">
        <f>IF(G308="","",G308-N(H308))</f>
        <v/>
      </c>
      <c r="J308" s="27" t="n"/>
      <c r="K308" s="24">
        <f>IF(G308="","",IF(I308&lt;=0,"Paid",IF(TODAY()&gt;F308,"Overdue","Open")))</f>
        <v/>
      </c>
      <c r="L308" s="33">
        <f>IF(K308="Overdue",TODAY()-F308,"")</f>
        <v/>
      </c>
      <c r="M308" s="28" t="n"/>
    </row>
    <row r="309">
      <c r="A309" s="28" t="n"/>
      <c r="B309" s="28" t="n"/>
      <c r="C309" s="28" t="n"/>
      <c r="D309" s="27" t="n"/>
      <c r="E309" s="34" t="n"/>
      <c r="F309" s="35">
        <f>IF(D309="","",D309+IF(E309="",Setup!$B$10,E309))</f>
        <v/>
      </c>
      <c r="G309" s="29" t="n"/>
      <c r="H309" s="29" t="n"/>
      <c r="I309" s="26">
        <f>IF(G309="","",G309-N(H309))</f>
        <v/>
      </c>
      <c r="J309" s="27" t="n"/>
      <c r="K309" s="24">
        <f>IF(G309="","",IF(I309&lt;=0,"Paid",IF(TODAY()&gt;F309,"Overdue","Open")))</f>
        <v/>
      </c>
      <c r="L309" s="33">
        <f>IF(K309="Overdue",TODAY()-F309,"")</f>
        <v/>
      </c>
      <c r="M309" s="28" t="n"/>
    </row>
    <row r="310">
      <c r="A310" s="28" t="n"/>
      <c r="B310" s="28" t="n"/>
      <c r="C310" s="28" t="n"/>
      <c r="D310" s="27" t="n"/>
      <c r="E310" s="34" t="n"/>
      <c r="F310" s="35">
        <f>IF(D310="","",D310+IF(E310="",Setup!$B$10,E310))</f>
        <v/>
      </c>
      <c r="G310" s="29" t="n"/>
      <c r="H310" s="29" t="n"/>
      <c r="I310" s="26">
        <f>IF(G310="","",G310-N(H310))</f>
        <v/>
      </c>
      <c r="J310" s="27" t="n"/>
      <c r="K310" s="24">
        <f>IF(G310="","",IF(I310&lt;=0,"Paid",IF(TODAY()&gt;F310,"Overdue","Open")))</f>
        <v/>
      </c>
      <c r="L310" s="33">
        <f>IF(K310="Overdue",TODAY()-F310,"")</f>
        <v/>
      </c>
      <c r="M310" s="28" t="n"/>
    </row>
    <row r="311">
      <c r="A311" s="28" t="n"/>
      <c r="B311" s="28" t="n"/>
      <c r="C311" s="28" t="n"/>
      <c r="D311" s="27" t="n"/>
      <c r="E311" s="34" t="n"/>
      <c r="F311" s="35">
        <f>IF(D311="","",D311+IF(E311="",Setup!$B$10,E311))</f>
        <v/>
      </c>
      <c r="G311" s="29" t="n"/>
      <c r="H311" s="29" t="n"/>
      <c r="I311" s="26">
        <f>IF(G311="","",G311-N(H311))</f>
        <v/>
      </c>
      <c r="J311" s="27" t="n"/>
      <c r="K311" s="24">
        <f>IF(G311="","",IF(I311&lt;=0,"Paid",IF(TODAY()&gt;F311,"Overdue","Open")))</f>
        <v/>
      </c>
      <c r="L311" s="33">
        <f>IF(K311="Overdue",TODAY()-F311,"")</f>
        <v/>
      </c>
      <c r="M311" s="28" t="n"/>
    </row>
    <row r="312">
      <c r="A312" s="28" t="n"/>
      <c r="B312" s="28" t="n"/>
      <c r="C312" s="28" t="n"/>
      <c r="D312" s="27" t="n"/>
      <c r="E312" s="34" t="n"/>
      <c r="F312" s="35">
        <f>IF(D312="","",D312+IF(E312="",Setup!$B$10,E312))</f>
        <v/>
      </c>
      <c r="G312" s="29" t="n"/>
      <c r="H312" s="29" t="n"/>
      <c r="I312" s="26">
        <f>IF(G312="","",G312-N(H312))</f>
        <v/>
      </c>
      <c r="J312" s="27" t="n"/>
      <c r="K312" s="24">
        <f>IF(G312="","",IF(I312&lt;=0,"Paid",IF(TODAY()&gt;F312,"Overdue","Open")))</f>
        <v/>
      </c>
      <c r="L312" s="33">
        <f>IF(K312="Overdue",TODAY()-F312,"")</f>
        <v/>
      </c>
      <c r="M312" s="28" t="n"/>
    </row>
    <row r="313">
      <c r="A313" s="28" t="n"/>
      <c r="B313" s="28" t="n"/>
      <c r="C313" s="28" t="n"/>
      <c r="D313" s="27" t="n"/>
      <c r="E313" s="34" t="n"/>
      <c r="F313" s="35">
        <f>IF(D313="","",D313+IF(E313="",Setup!$B$10,E313))</f>
        <v/>
      </c>
      <c r="G313" s="29" t="n"/>
      <c r="H313" s="29" t="n"/>
      <c r="I313" s="26">
        <f>IF(G313="","",G313-N(H313))</f>
        <v/>
      </c>
      <c r="J313" s="27" t="n"/>
      <c r="K313" s="24">
        <f>IF(G313="","",IF(I313&lt;=0,"Paid",IF(TODAY()&gt;F313,"Overdue","Open")))</f>
        <v/>
      </c>
      <c r="L313" s="33">
        <f>IF(K313="Overdue",TODAY()-F313,"")</f>
        <v/>
      </c>
      <c r="M313" s="28" t="n"/>
    </row>
    <row r="314">
      <c r="A314" s="28" t="n"/>
      <c r="B314" s="28" t="n"/>
      <c r="C314" s="28" t="n"/>
      <c r="D314" s="27" t="n"/>
      <c r="E314" s="34" t="n"/>
      <c r="F314" s="35">
        <f>IF(D314="","",D314+IF(E314="",Setup!$B$10,E314))</f>
        <v/>
      </c>
      <c r="G314" s="29" t="n"/>
      <c r="H314" s="29" t="n"/>
      <c r="I314" s="26">
        <f>IF(G314="","",G314-N(H314))</f>
        <v/>
      </c>
      <c r="J314" s="27" t="n"/>
      <c r="K314" s="24">
        <f>IF(G314="","",IF(I314&lt;=0,"Paid",IF(TODAY()&gt;F314,"Overdue","Open")))</f>
        <v/>
      </c>
      <c r="L314" s="33">
        <f>IF(K314="Overdue",TODAY()-F314,"")</f>
        <v/>
      </c>
      <c r="M314" s="28" t="n"/>
    </row>
    <row r="315">
      <c r="A315" s="28" t="n"/>
      <c r="B315" s="28" t="n"/>
      <c r="C315" s="28" t="n"/>
      <c r="D315" s="27" t="n"/>
      <c r="E315" s="34" t="n"/>
      <c r="F315" s="35">
        <f>IF(D315="","",D315+IF(E315="",Setup!$B$10,E315))</f>
        <v/>
      </c>
      <c r="G315" s="29" t="n"/>
      <c r="H315" s="29" t="n"/>
      <c r="I315" s="26">
        <f>IF(G315="","",G315-N(H315))</f>
        <v/>
      </c>
      <c r="J315" s="27" t="n"/>
      <c r="K315" s="24">
        <f>IF(G315="","",IF(I315&lt;=0,"Paid",IF(TODAY()&gt;F315,"Overdue","Open")))</f>
        <v/>
      </c>
      <c r="L315" s="33">
        <f>IF(K315="Overdue",TODAY()-F315,"")</f>
        <v/>
      </c>
      <c r="M315" s="28" t="n"/>
    </row>
    <row r="316">
      <c r="A316" s="28" t="n"/>
      <c r="B316" s="28" t="n"/>
      <c r="C316" s="28" t="n"/>
      <c r="D316" s="27" t="n"/>
      <c r="E316" s="34" t="n"/>
      <c r="F316" s="35">
        <f>IF(D316="","",D316+IF(E316="",Setup!$B$10,E316))</f>
        <v/>
      </c>
      <c r="G316" s="29" t="n"/>
      <c r="H316" s="29" t="n"/>
      <c r="I316" s="26">
        <f>IF(G316="","",G316-N(H316))</f>
        <v/>
      </c>
      <c r="J316" s="27" t="n"/>
      <c r="K316" s="24">
        <f>IF(G316="","",IF(I316&lt;=0,"Paid",IF(TODAY()&gt;F316,"Overdue","Open")))</f>
        <v/>
      </c>
      <c r="L316" s="33">
        <f>IF(K316="Overdue",TODAY()-F316,"")</f>
        <v/>
      </c>
      <c r="M316" s="28" t="n"/>
    </row>
    <row r="317">
      <c r="A317" s="28" t="n"/>
      <c r="B317" s="28" t="n"/>
      <c r="C317" s="28" t="n"/>
      <c r="D317" s="27" t="n"/>
      <c r="E317" s="34" t="n"/>
      <c r="F317" s="35">
        <f>IF(D317="","",D317+IF(E317="",Setup!$B$10,E317))</f>
        <v/>
      </c>
      <c r="G317" s="29" t="n"/>
      <c r="H317" s="29" t="n"/>
      <c r="I317" s="26">
        <f>IF(G317="","",G317-N(H317))</f>
        <v/>
      </c>
      <c r="J317" s="27" t="n"/>
      <c r="K317" s="24">
        <f>IF(G317="","",IF(I317&lt;=0,"Paid",IF(TODAY()&gt;F317,"Overdue","Open")))</f>
        <v/>
      </c>
      <c r="L317" s="33">
        <f>IF(K317="Overdue",TODAY()-F317,"")</f>
        <v/>
      </c>
      <c r="M317" s="28" t="n"/>
    </row>
    <row r="318">
      <c r="A318" s="28" t="n"/>
      <c r="B318" s="28" t="n"/>
      <c r="C318" s="28" t="n"/>
      <c r="D318" s="27" t="n"/>
      <c r="E318" s="34" t="n"/>
      <c r="F318" s="35">
        <f>IF(D318="","",D318+IF(E318="",Setup!$B$10,E318))</f>
        <v/>
      </c>
      <c r="G318" s="29" t="n"/>
      <c r="H318" s="29" t="n"/>
      <c r="I318" s="26">
        <f>IF(G318="","",G318-N(H318))</f>
        <v/>
      </c>
      <c r="J318" s="27" t="n"/>
      <c r="K318" s="24">
        <f>IF(G318="","",IF(I318&lt;=0,"Paid",IF(TODAY()&gt;F318,"Overdue","Open")))</f>
        <v/>
      </c>
      <c r="L318" s="33">
        <f>IF(K318="Overdue",TODAY()-F318,"")</f>
        <v/>
      </c>
      <c r="M318" s="28" t="n"/>
    </row>
    <row r="319">
      <c r="A319" s="28" t="n"/>
      <c r="B319" s="28" t="n"/>
      <c r="C319" s="28" t="n"/>
      <c r="D319" s="27" t="n"/>
      <c r="E319" s="34" t="n"/>
      <c r="F319" s="35">
        <f>IF(D319="","",D319+IF(E319="",Setup!$B$10,E319))</f>
        <v/>
      </c>
      <c r="G319" s="29" t="n"/>
      <c r="H319" s="29" t="n"/>
      <c r="I319" s="26">
        <f>IF(G319="","",G319-N(H319))</f>
        <v/>
      </c>
      <c r="J319" s="27" t="n"/>
      <c r="K319" s="24">
        <f>IF(G319="","",IF(I319&lt;=0,"Paid",IF(TODAY()&gt;F319,"Overdue","Open")))</f>
        <v/>
      </c>
      <c r="L319" s="33">
        <f>IF(K319="Overdue",TODAY()-F319,"")</f>
        <v/>
      </c>
      <c r="M319" s="28" t="n"/>
    </row>
    <row r="320">
      <c r="A320" s="28" t="n"/>
      <c r="B320" s="28" t="n"/>
      <c r="C320" s="28" t="n"/>
      <c r="D320" s="27" t="n"/>
      <c r="E320" s="34" t="n"/>
      <c r="F320" s="35">
        <f>IF(D320="","",D320+IF(E320="",Setup!$B$10,E320))</f>
        <v/>
      </c>
      <c r="G320" s="29" t="n"/>
      <c r="H320" s="29" t="n"/>
      <c r="I320" s="26">
        <f>IF(G320="","",G320-N(H320))</f>
        <v/>
      </c>
      <c r="J320" s="27" t="n"/>
      <c r="K320" s="24">
        <f>IF(G320="","",IF(I320&lt;=0,"Paid",IF(TODAY()&gt;F320,"Overdue","Open")))</f>
        <v/>
      </c>
      <c r="L320" s="33">
        <f>IF(K320="Overdue",TODAY()-F320,"")</f>
        <v/>
      </c>
      <c r="M320" s="28" t="n"/>
    </row>
    <row r="321">
      <c r="A321" s="28" t="n"/>
      <c r="B321" s="28" t="n"/>
      <c r="C321" s="28" t="n"/>
      <c r="D321" s="27" t="n"/>
      <c r="E321" s="34" t="n"/>
      <c r="F321" s="35">
        <f>IF(D321="","",D321+IF(E321="",Setup!$B$10,E321))</f>
        <v/>
      </c>
      <c r="G321" s="29" t="n"/>
      <c r="H321" s="29" t="n"/>
      <c r="I321" s="26">
        <f>IF(G321="","",G321-N(H321))</f>
        <v/>
      </c>
      <c r="J321" s="27" t="n"/>
      <c r="K321" s="24">
        <f>IF(G321="","",IF(I321&lt;=0,"Paid",IF(TODAY()&gt;F321,"Overdue","Open")))</f>
        <v/>
      </c>
      <c r="L321" s="33">
        <f>IF(K321="Overdue",TODAY()-F321,"")</f>
        <v/>
      </c>
      <c r="M321" s="28" t="n"/>
    </row>
    <row r="322">
      <c r="A322" s="28" t="n"/>
      <c r="B322" s="28" t="n"/>
      <c r="C322" s="28" t="n"/>
      <c r="D322" s="27" t="n"/>
      <c r="E322" s="34" t="n"/>
      <c r="F322" s="35">
        <f>IF(D322="","",D322+IF(E322="",Setup!$B$10,E322))</f>
        <v/>
      </c>
      <c r="G322" s="29" t="n"/>
      <c r="H322" s="29" t="n"/>
      <c r="I322" s="26">
        <f>IF(G322="","",G322-N(H322))</f>
        <v/>
      </c>
      <c r="J322" s="27" t="n"/>
      <c r="K322" s="24">
        <f>IF(G322="","",IF(I322&lt;=0,"Paid",IF(TODAY()&gt;F322,"Overdue","Open")))</f>
        <v/>
      </c>
      <c r="L322" s="33">
        <f>IF(K322="Overdue",TODAY()-F322,"")</f>
        <v/>
      </c>
      <c r="M322" s="28" t="n"/>
    </row>
    <row r="323">
      <c r="A323" s="28" t="n"/>
      <c r="B323" s="28" t="n"/>
      <c r="C323" s="28" t="n"/>
      <c r="D323" s="27" t="n"/>
      <c r="E323" s="34" t="n"/>
      <c r="F323" s="35">
        <f>IF(D323="","",D323+IF(E323="",Setup!$B$10,E323))</f>
        <v/>
      </c>
      <c r="G323" s="29" t="n"/>
      <c r="H323" s="29" t="n"/>
      <c r="I323" s="26">
        <f>IF(G323="","",G323-N(H323))</f>
        <v/>
      </c>
      <c r="J323" s="27" t="n"/>
      <c r="K323" s="24">
        <f>IF(G323="","",IF(I323&lt;=0,"Paid",IF(TODAY()&gt;F323,"Overdue","Open")))</f>
        <v/>
      </c>
      <c r="L323" s="33">
        <f>IF(K323="Overdue",TODAY()-F323,"")</f>
        <v/>
      </c>
      <c r="M323" s="28" t="n"/>
    </row>
    <row r="324">
      <c r="A324" s="28" t="n"/>
      <c r="B324" s="28" t="n"/>
      <c r="C324" s="28" t="n"/>
      <c r="D324" s="27" t="n"/>
      <c r="E324" s="34" t="n"/>
      <c r="F324" s="35">
        <f>IF(D324="","",D324+IF(E324="",Setup!$B$10,E324))</f>
        <v/>
      </c>
      <c r="G324" s="29" t="n"/>
      <c r="H324" s="29" t="n"/>
      <c r="I324" s="26">
        <f>IF(G324="","",G324-N(H324))</f>
        <v/>
      </c>
      <c r="J324" s="27" t="n"/>
      <c r="K324" s="24">
        <f>IF(G324="","",IF(I324&lt;=0,"Paid",IF(TODAY()&gt;F324,"Overdue","Open")))</f>
        <v/>
      </c>
      <c r="L324" s="33">
        <f>IF(K324="Overdue",TODAY()-F324,"")</f>
        <v/>
      </c>
      <c r="M324" s="28" t="n"/>
    </row>
    <row r="325">
      <c r="A325" s="28" t="n"/>
      <c r="B325" s="28" t="n"/>
      <c r="C325" s="28" t="n"/>
      <c r="D325" s="27" t="n"/>
      <c r="E325" s="34" t="n"/>
      <c r="F325" s="35">
        <f>IF(D325="","",D325+IF(E325="",Setup!$B$10,E325))</f>
        <v/>
      </c>
      <c r="G325" s="29" t="n"/>
      <c r="H325" s="29" t="n"/>
      <c r="I325" s="26">
        <f>IF(G325="","",G325-N(H325))</f>
        <v/>
      </c>
      <c r="J325" s="27" t="n"/>
      <c r="K325" s="24">
        <f>IF(G325="","",IF(I325&lt;=0,"Paid",IF(TODAY()&gt;F325,"Overdue","Open")))</f>
        <v/>
      </c>
      <c r="L325" s="33">
        <f>IF(K325="Overdue",TODAY()-F325,"")</f>
        <v/>
      </c>
      <c r="M325" s="28" t="n"/>
    </row>
    <row r="326">
      <c r="A326" s="28" t="n"/>
      <c r="B326" s="28" t="n"/>
      <c r="C326" s="28" t="n"/>
      <c r="D326" s="27" t="n"/>
      <c r="E326" s="34" t="n"/>
      <c r="F326" s="35">
        <f>IF(D326="","",D326+IF(E326="",Setup!$B$10,E326))</f>
        <v/>
      </c>
      <c r="G326" s="29" t="n"/>
      <c r="H326" s="29" t="n"/>
      <c r="I326" s="26">
        <f>IF(G326="","",G326-N(H326))</f>
        <v/>
      </c>
      <c r="J326" s="27" t="n"/>
      <c r="K326" s="24">
        <f>IF(G326="","",IF(I326&lt;=0,"Paid",IF(TODAY()&gt;F326,"Overdue","Open")))</f>
        <v/>
      </c>
      <c r="L326" s="33">
        <f>IF(K326="Overdue",TODAY()-F326,"")</f>
        <v/>
      </c>
      <c r="M326" s="28" t="n"/>
    </row>
    <row r="327">
      <c r="A327" s="28" t="n"/>
      <c r="B327" s="28" t="n"/>
      <c r="C327" s="28" t="n"/>
      <c r="D327" s="27" t="n"/>
      <c r="E327" s="34" t="n"/>
      <c r="F327" s="35">
        <f>IF(D327="","",D327+IF(E327="",Setup!$B$10,E327))</f>
        <v/>
      </c>
      <c r="G327" s="29" t="n"/>
      <c r="H327" s="29" t="n"/>
      <c r="I327" s="26">
        <f>IF(G327="","",G327-N(H327))</f>
        <v/>
      </c>
      <c r="J327" s="27" t="n"/>
      <c r="K327" s="24">
        <f>IF(G327="","",IF(I327&lt;=0,"Paid",IF(TODAY()&gt;F327,"Overdue","Open")))</f>
        <v/>
      </c>
      <c r="L327" s="33">
        <f>IF(K327="Overdue",TODAY()-F327,"")</f>
        <v/>
      </c>
      <c r="M327" s="28" t="n"/>
    </row>
    <row r="328">
      <c r="A328" s="28" t="n"/>
      <c r="B328" s="28" t="n"/>
      <c r="C328" s="28" t="n"/>
      <c r="D328" s="27" t="n"/>
      <c r="E328" s="34" t="n"/>
      <c r="F328" s="35">
        <f>IF(D328="","",D328+IF(E328="",Setup!$B$10,E328))</f>
        <v/>
      </c>
      <c r="G328" s="29" t="n"/>
      <c r="H328" s="29" t="n"/>
      <c r="I328" s="26">
        <f>IF(G328="","",G328-N(H328))</f>
        <v/>
      </c>
      <c r="J328" s="27" t="n"/>
      <c r="K328" s="24">
        <f>IF(G328="","",IF(I328&lt;=0,"Paid",IF(TODAY()&gt;F328,"Overdue","Open")))</f>
        <v/>
      </c>
      <c r="L328" s="33">
        <f>IF(K328="Overdue",TODAY()-F328,"")</f>
        <v/>
      </c>
      <c r="M328" s="28" t="n"/>
    </row>
    <row r="329">
      <c r="A329" s="28" t="n"/>
      <c r="B329" s="28" t="n"/>
      <c r="C329" s="28" t="n"/>
      <c r="D329" s="27" t="n"/>
      <c r="E329" s="34" t="n"/>
      <c r="F329" s="35">
        <f>IF(D329="","",D329+IF(E329="",Setup!$B$10,E329))</f>
        <v/>
      </c>
      <c r="G329" s="29" t="n"/>
      <c r="H329" s="29" t="n"/>
      <c r="I329" s="26">
        <f>IF(G329="","",G329-N(H329))</f>
        <v/>
      </c>
      <c r="J329" s="27" t="n"/>
      <c r="K329" s="24">
        <f>IF(G329="","",IF(I329&lt;=0,"Paid",IF(TODAY()&gt;F329,"Overdue","Open")))</f>
        <v/>
      </c>
      <c r="L329" s="33">
        <f>IF(K329="Overdue",TODAY()-F329,"")</f>
        <v/>
      </c>
      <c r="M329" s="28" t="n"/>
    </row>
    <row r="330">
      <c r="A330" s="28" t="n"/>
      <c r="B330" s="28" t="n"/>
      <c r="C330" s="28" t="n"/>
      <c r="D330" s="27" t="n"/>
      <c r="E330" s="34" t="n"/>
      <c r="F330" s="35">
        <f>IF(D330="","",D330+IF(E330="",Setup!$B$10,E330))</f>
        <v/>
      </c>
      <c r="G330" s="29" t="n"/>
      <c r="H330" s="29" t="n"/>
      <c r="I330" s="26">
        <f>IF(G330="","",G330-N(H330))</f>
        <v/>
      </c>
      <c r="J330" s="27" t="n"/>
      <c r="K330" s="24">
        <f>IF(G330="","",IF(I330&lt;=0,"Paid",IF(TODAY()&gt;F330,"Overdue","Open")))</f>
        <v/>
      </c>
      <c r="L330" s="33">
        <f>IF(K330="Overdue",TODAY()-F330,"")</f>
        <v/>
      </c>
      <c r="M330" s="28" t="n"/>
    </row>
    <row r="331">
      <c r="A331" s="28" t="n"/>
      <c r="B331" s="28" t="n"/>
      <c r="C331" s="28" t="n"/>
      <c r="D331" s="27" t="n"/>
      <c r="E331" s="34" t="n"/>
      <c r="F331" s="35">
        <f>IF(D331="","",D331+IF(E331="",Setup!$B$10,E331))</f>
        <v/>
      </c>
      <c r="G331" s="29" t="n"/>
      <c r="H331" s="29" t="n"/>
      <c r="I331" s="26">
        <f>IF(G331="","",G331-N(H331))</f>
        <v/>
      </c>
      <c r="J331" s="27" t="n"/>
      <c r="K331" s="24">
        <f>IF(G331="","",IF(I331&lt;=0,"Paid",IF(TODAY()&gt;F331,"Overdue","Open")))</f>
        <v/>
      </c>
      <c r="L331" s="33">
        <f>IF(K331="Overdue",TODAY()-F331,"")</f>
        <v/>
      </c>
      <c r="M331" s="28" t="n"/>
    </row>
    <row r="332">
      <c r="A332" s="28" t="n"/>
      <c r="B332" s="28" t="n"/>
      <c r="C332" s="28" t="n"/>
      <c r="D332" s="27" t="n"/>
      <c r="E332" s="34" t="n"/>
      <c r="F332" s="35">
        <f>IF(D332="","",D332+IF(E332="",Setup!$B$10,E332))</f>
        <v/>
      </c>
      <c r="G332" s="29" t="n"/>
      <c r="H332" s="29" t="n"/>
      <c r="I332" s="26">
        <f>IF(G332="","",G332-N(H332))</f>
        <v/>
      </c>
      <c r="J332" s="27" t="n"/>
      <c r="K332" s="24">
        <f>IF(G332="","",IF(I332&lt;=0,"Paid",IF(TODAY()&gt;F332,"Overdue","Open")))</f>
        <v/>
      </c>
      <c r="L332" s="33">
        <f>IF(K332="Overdue",TODAY()-F332,"")</f>
        <v/>
      </c>
      <c r="M332" s="28" t="n"/>
    </row>
    <row r="333">
      <c r="A333" s="28" t="n"/>
      <c r="B333" s="28" t="n"/>
      <c r="C333" s="28" t="n"/>
      <c r="D333" s="27" t="n"/>
      <c r="E333" s="34" t="n"/>
      <c r="F333" s="35">
        <f>IF(D333="","",D333+IF(E333="",Setup!$B$10,E333))</f>
        <v/>
      </c>
      <c r="G333" s="29" t="n"/>
      <c r="H333" s="29" t="n"/>
      <c r="I333" s="26">
        <f>IF(G333="","",G333-N(H333))</f>
        <v/>
      </c>
      <c r="J333" s="27" t="n"/>
      <c r="K333" s="24">
        <f>IF(G333="","",IF(I333&lt;=0,"Paid",IF(TODAY()&gt;F333,"Overdue","Open")))</f>
        <v/>
      </c>
      <c r="L333" s="33">
        <f>IF(K333="Overdue",TODAY()-F333,"")</f>
        <v/>
      </c>
      <c r="M333" s="28" t="n"/>
    </row>
    <row r="334">
      <c r="A334" s="28" t="n"/>
      <c r="B334" s="28" t="n"/>
      <c r="C334" s="28" t="n"/>
      <c r="D334" s="27" t="n"/>
      <c r="E334" s="34" t="n"/>
      <c r="F334" s="35">
        <f>IF(D334="","",D334+IF(E334="",Setup!$B$10,E334))</f>
        <v/>
      </c>
      <c r="G334" s="29" t="n"/>
      <c r="H334" s="29" t="n"/>
      <c r="I334" s="26">
        <f>IF(G334="","",G334-N(H334))</f>
        <v/>
      </c>
      <c r="J334" s="27" t="n"/>
      <c r="K334" s="24">
        <f>IF(G334="","",IF(I334&lt;=0,"Paid",IF(TODAY()&gt;F334,"Overdue","Open")))</f>
        <v/>
      </c>
      <c r="L334" s="33">
        <f>IF(K334="Overdue",TODAY()-F334,"")</f>
        <v/>
      </c>
      <c r="M334" s="28" t="n"/>
    </row>
    <row r="335">
      <c r="A335" s="28" t="n"/>
      <c r="B335" s="28" t="n"/>
      <c r="C335" s="28" t="n"/>
      <c r="D335" s="27" t="n"/>
      <c r="E335" s="34" t="n"/>
      <c r="F335" s="35">
        <f>IF(D335="","",D335+IF(E335="",Setup!$B$10,E335))</f>
        <v/>
      </c>
      <c r="G335" s="29" t="n"/>
      <c r="H335" s="29" t="n"/>
      <c r="I335" s="26">
        <f>IF(G335="","",G335-N(H335))</f>
        <v/>
      </c>
      <c r="J335" s="27" t="n"/>
      <c r="K335" s="24">
        <f>IF(G335="","",IF(I335&lt;=0,"Paid",IF(TODAY()&gt;F335,"Overdue","Open")))</f>
        <v/>
      </c>
      <c r="L335" s="33">
        <f>IF(K335="Overdue",TODAY()-F335,"")</f>
        <v/>
      </c>
      <c r="M335" s="28" t="n"/>
    </row>
    <row r="336">
      <c r="A336" s="28" t="n"/>
      <c r="B336" s="28" t="n"/>
      <c r="C336" s="28" t="n"/>
      <c r="D336" s="27" t="n"/>
      <c r="E336" s="34" t="n"/>
      <c r="F336" s="35">
        <f>IF(D336="","",D336+IF(E336="",Setup!$B$10,E336))</f>
        <v/>
      </c>
      <c r="G336" s="29" t="n"/>
      <c r="H336" s="29" t="n"/>
      <c r="I336" s="26">
        <f>IF(G336="","",G336-N(H336))</f>
        <v/>
      </c>
      <c r="J336" s="27" t="n"/>
      <c r="K336" s="24">
        <f>IF(G336="","",IF(I336&lt;=0,"Paid",IF(TODAY()&gt;F336,"Overdue","Open")))</f>
        <v/>
      </c>
      <c r="L336" s="33">
        <f>IF(K336="Overdue",TODAY()-F336,"")</f>
        <v/>
      </c>
      <c r="M336" s="28" t="n"/>
    </row>
    <row r="337">
      <c r="A337" s="28" t="n"/>
      <c r="B337" s="28" t="n"/>
      <c r="C337" s="28" t="n"/>
      <c r="D337" s="27" t="n"/>
      <c r="E337" s="34" t="n"/>
      <c r="F337" s="35">
        <f>IF(D337="","",D337+IF(E337="",Setup!$B$10,E337))</f>
        <v/>
      </c>
      <c r="G337" s="29" t="n"/>
      <c r="H337" s="29" t="n"/>
      <c r="I337" s="26">
        <f>IF(G337="","",G337-N(H337))</f>
        <v/>
      </c>
      <c r="J337" s="27" t="n"/>
      <c r="K337" s="24">
        <f>IF(G337="","",IF(I337&lt;=0,"Paid",IF(TODAY()&gt;F337,"Overdue","Open")))</f>
        <v/>
      </c>
      <c r="L337" s="33">
        <f>IF(K337="Overdue",TODAY()-F337,"")</f>
        <v/>
      </c>
      <c r="M337" s="28" t="n"/>
    </row>
    <row r="338">
      <c r="A338" s="28" t="n"/>
      <c r="B338" s="28" t="n"/>
      <c r="C338" s="28" t="n"/>
      <c r="D338" s="27" t="n"/>
      <c r="E338" s="34" t="n"/>
      <c r="F338" s="35">
        <f>IF(D338="","",D338+IF(E338="",Setup!$B$10,E338))</f>
        <v/>
      </c>
      <c r="G338" s="29" t="n"/>
      <c r="H338" s="29" t="n"/>
      <c r="I338" s="26">
        <f>IF(G338="","",G338-N(H338))</f>
        <v/>
      </c>
      <c r="J338" s="27" t="n"/>
      <c r="K338" s="24">
        <f>IF(G338="","",IF(I338&lt;=0,"Paid",IF(TODAY()&gt;F338,"Overdue","Open")))</f>
        <v/>
      </c>
      <c r="L338" s="33">
        <f>IF(K338="Overdue",TODAY()-F338,"")</f>
        <v/>
      </c>
      <c r="M338" s="28" t="n"/>
    </row>
    <row r="339">
      <c r="A339" s="28" t="n"/>
      <c r="B339" s="28" t="n"/>
      <c r="C339" s="28" t="n"/>
      <c r="D339" s="27" t="n"/>
      <c r="E339" s="34" t="n"/>
      <c r="F339" s="35">
        <f>IF(D339="","",D339+IF(E339="",Setup!$B$10,E339))</f>
        <v/>
      </c>
      <c r="G339" s="29" t="n"/>
      <c r="H339" s="29" t="n"/>
      <c r="I339" s="26">
        <f>IF(G339="","",G339-N(H339))</f>
        <v/>
      </c>
      <c r="J339" s="27" t="n"/>
      <c r="K339" s="24">
        <f>IF(G339="","",IF(I339&lt;=0,"Paid",IF(TODAY()&gt;F339,"Overdue","Open")))</f>
        <v/>
      </c>
      <c r="L339" s="33">
        <f>IF(K339="Overdue",TODAY()-F339,"")</f>
        <v/>
      </c>
      <c r="M339" s="28" t="n"/>
    </row>
    <row r="340">
      <c r="A340" s="28" t="n"/>
      <c r="B340" s="28" t="n"/>
      <c r="C340" s="28" t="n"/>
      <c r="D340" s="27" t="n"/>
      <c r="E340" s="34" t="n"/>
      <c r="F340" s="35">
        <f>IF(D340="","",D340+IF(E340="",Setup!$B$10,E340))</f>
        <v/>
      </c>
      <c r="G340" s="29" t="n"/>
      <c r="H340" s="29" t="n"/>
      <c r="I340" s="26">
        <f>IF(G340="","",G340-N(H340))</f>
        <v/>
      </c>
      <c r="J340" s="27" t="n"/>
      <c r="K340" s="24">
        <f>IF(G340="","",IF(I340&lt;=0,"Paid",IF(TODAY()&gt;F340,"Overdue","Open")))</f>
        <v/>
      </c>
      <c r="L340" s="33">
        <f>IF(K340="Overdue",TODAY()-F340,"")</f>
        <v/>
      </c>
      <c r="M340" s="28" t="n"/>
    </row>
    <row r="341">
      <c r="A341" s="28" t="n"/>
      <c r="B341" s="28" t="n"/>
      <c r="C341" s="28" t="n"/>
      <c r="D341" s="27" t="n"/>
      <c r="E341" s="34" t="n"/>
      <c r="F341" s="35">
        <f>IF(D341="","",D341+IF(E341="",Setup!$B$10,E341))</f>
        <v/>
      </c>
      <c r="G341" s="29" t="n"/>
      <c r="H341" s="29" t="n"/>
      <c r="I341" s="26">
        <f>IF(G341="","",G341-N(H341))</f>
        <v/>
      </c>
      <c r="J341" s="27" t="n"/>
      <c r="K341" s="24">
        <f>IF(G341="","",IF(I341&lt;=0,"Paid",IF(TODAY()&gt;F341,"Overdue","Open")))</f>
        <v/>
      </c>
      <c r="L341" s="33">
        <f>IF(K341="Overdue",TODAY()-F341,"")</f>
        <v/>
      </c>
      <c r="M341" s="28" t="n"/>
    </row>
    <row r="342">
      <c r="A342" s="28" t="n"/>
      <c r="B342" s="28" t="n"/>
      <c r="C342" s="28" t="n"/>
      <c r="D342" s="27" t="n"/>
      <c r="E342" s="34" t="n"/>
      <c r="F342" s="35">
        <f>IF(D342="","",D342+IF(E342="",Setup!$B$10,E342))</f>
        <v/>
      </c>
      <c r="G342" s="29" t="n"/>
      <c r="H342" s="29" t="n"/>
      <c r="I342" s="26">
        <f>IF(G342="","",G342-N(H342))</f>
        <v/>
      </c>
      <c r="J342" s="27" t="n"/>
      <c r="K342" s="24">
        <f>IF(G342="","",IF(I342&lt;=0,"Paid",IF(TODAY()&gt;F342,"Overdue","Open")))</f>
        <v/>
      </c>
      <c r="L342" s="33">
        <f>IF(K342="Overdue",TODAY()-F342,"")</f>
        <v/>
      </c>
      <c r="M342" s="28" t="n"/>
    </row>
    <row r="343">
      <c r="A343" s="28" t="n"/>
      <c r="B343" s="28" t="n"/>
      <c r="C343" s="28" t="n"/>
      <c r="D343" s="27" t="n"/>
      <c r="E343" s="34" t="n"/>
      <c r="F343" s="35">
        <f>IF(D343="","",D343+IF(E343="",Setup!$B$10,E343))</f>
        <v/>
      </c>
      <c r="G343" s="29" t="n"/>
      <c r="H343" s="29" t="n"/>
      <c r="I343" s="26">
        <f>IF(G343="","",G343-N(H343))</f>
        <v/>
      </c>
      <c r="J343" s="27" t="n"/>
      <c r="K343" s="24">
        <f>IF(G343="","",IF(I343&lt;=0,"Paid",IF(TODAY()&gt;F343,"Overdue","Open")))</f>
        <v/>
      </c>
      <c r="L343" s="33">
        <f>IF(K343="Overdue",TODAY()-F343,"")</f>
        <v/>
      </c>
      <c r="M343" s="28" t="n"/>
    </row>
    <row r="344">
      <c r="A344" s="28" t="n"/>
      <c r="B344" s="28" t="n"/>
      <c r="C344" s="28" t="n"/>
      <c r="D344" s="27" t="n"/>
      <c r="E344" s="34" t="n"/>
      <c r="F344" s="35">
        <f>IF(D344="","",D344+IF(E344="",Setup!$B$10,E344))</f>
        <v/>
      </c>
      <c r="G344" s="29" t="n"/>
      <c r="H344" s="29" t="n"/>
      <c r="I344" s="26">
        <f>IF(G344="","",G344-N(H344))</f>
        <v/>
      </c>
      <c r="J344" s="27" t="n"/>
      <c r="K344" s="24">
        <f>IF(G344="","",IF(I344&lt;=0,"Paid",IF(TODAY()&gt;F344,"Overdue","Open")))</f>
        <v/>
      </c>
      <c r="L344" s="33">
        <f>IF(K344="Overdue",TODAY()-F344,"")</f>
        <v/>
      </c>
      <c r="M344" s="28" t="n"/>
    </row>
    <row r="345">
      <c r="A345" s="28" t="n"/>
      <c r="B345" s="28" t="n"/>
      <c r="C345" s="28" t="n"/>
      <c r="D345" s="27" t="n"/>
      <c r="E345" s="34" t="n"/>
      <c r="F345" s="35">
        <f>IF(D345="","",D345+IF(E345="",Setup!$B$10,E345))</f>
        <v/>
      </c>
      <c r="G345" s="29" t="n"/>
      <c r="H345" s="29" t="n"/>
      <c r="I345" s="26">
        <f>IF(G345="","",G345-N(H345))</f>
        <v/>
      </c>
      <c r="J345" s="27" t="n"/>
      <c r="K345" s="24">
        <f>IF(G345="","",IF(I345&lt;=0,"Paid",IF(TODAY()&gt;F345,"Overdue","Open")))</f>
        <v/>
      </c>
      <c r="L345" s="33">
        <f>IF(K345="Overdue",TODAY()-F345,"")</f>
        <v/>
      </c>
      <c r="M345" s="28" t="n"/>
    </row>
    <row r="346">
      <c r="A346" s="28" t="n"/>
      <c r="B346" s="28" t="n"/>
      <c r="C346" s="28" t="n"/>
      <c r="D346" s="27" t="n"/>
      <c r="E346" s="34" t="n"/>
      <c r="F346" s="35">
        <f>IF(D346="","",D346+IF(E346="",Setup!$B$10,E346))</f>
        <v/>
      </c>
      <c r="G346" s="29" t="n"/>
      <c r="H346" s="29" t="n"/>
      <c r="I346" s="26">
        <f>IF(G346="","",G346-N(H346))</f>
        <v/>
      </c>
      <c r="J346" s="27" t="n"/>
      <c r="K346" s="24">
        <f>IF(G346="","",IF(I346&lt;=0,"Paid",IF(TODAY()&gt;F346,"Overdue","Open")))</f>
        <v/>
      </c>
      <c r="L346" s="33">
        <f>IF(K346="Overdue",TODAY()-F346,"")</f>
        <v/>
      </c>
      <c r="M346" s="28" t="n"/>
    </row>
    <row r="347">
      <c r="A347" s="28" t="n"/>
      <c r="B347" s="28" t="n"/>
      <c r="C347" s="28" t="n"/>
      <c r="D347" s="27" t="n"/>
      <c r="E347" s="34" t="n"/>
      <c r="F347" s="35">
        <f>IF(D347="","",D347+IF(E347="",Setup!$B$10,E347))</f>
        <v/>
      </c>
      <c r="G347" s="29" t="n"/>
      <c r="H347" s="29" t="n"/>
      <c r="I347" s="26">
        <f>IF(G347="","",G347-N(H347))</f>
        <v/>
      </c>
      <c r="J347" s="27" t="n"/>
      <c r="K347" s="24">
        <f>IF(G347="","",IF(I347&lt;=0,"Paid",IF(TODAY()&gt;F347,"Overdue","Open")))</f>
        <v/>
      </c>
      <c r="L347" s="33">
        <f>IF(K347="Overdue",TODAY()-F347,"")</f>
        <v/>
      </c>
      <c r="M347" s="28" t="n"/>
    </row>
    <row r="348">
      <c r="A348" s="28" t="n"/>
      <c r="B348" s="28" t="n"/>
      <c r="C348" s="28" t="n"/>
      <c r="D348" s="27" t="n"/>
      <c r="E348" s="34" t="n"/>
      <c r="F348" s="35">
        <f>IF(D348="","",D348+IF(E348="",Setup!$B$10,E348))</f>
        <v/>
      </c>
      <c r="G348" s="29" t="n"/>
      <c r="H348" s="29" t="n"/>
      <c r="I348" s="26">
        <f>IF(G348="","",G348-N(H348))</f>
        <v/>
      </c>
      <c r="J348" s="27" t="n"/>
      <c r="K348" s="24">
        <f>IF(G348="","",IF(I348&lt;=0,"Paid",IF(TODAY()&gt;F348,"Overdue","Open")))</f>
        <v/>
      </c>
      <c r="L348" s="33">
        <f>IF(K348="Overdue",TODAY()-F348,"")</f>
        <v/>
      </c>
      <c r="M348" s="28" t="n"/>
    </row>
    <row r="349">
      <c r="A349" s="28" t="n"/>
      <c r="B349" s="28" t="n"/>
      <c r="C349" s="28" t="n"/>
      <c r="D349" s="27" t="n"/>
      <c r="E349" s="34" t="n"/>
      <c r="F349" s="35">
        <f>IF(D349="","",D349+IF(E349="",Setup!$B$10,E349))</f>
        <v/>
      </c>
      <c r="G349" s="29" t="n"/>
      <c r="H349" s="29" t="n"/>
      <c r="I349" s="26">
        <f>IF(G349="","",G349-N(H349))</f>
        <v/>
      </c>
      <c r="J349" s="27" t="n"/>
      <c r="K349" s="24">
        <f>IF(G349="","",IF(I349&lt;=0,"Paid",IF(TODAY()&gt;F349,"Overdue","Open")))</f>
        <v/>
      </c>
      <c r="L349" s="33">
        <f>IF(K349="Overdue",TODAY()-F349,"")</f>
        <v/>
      </c>
      <c r="M349" s="28" t="n"/>
    </row>
    <row r="350">
      <c r="A350" s="28" t="n"/>
      <c r="B350" s="28" t="n"/>
      <c r="C350" s="28" t="n"/>
      <c r="D350" s="27" t="n"/>
      <c r="E350" s="34" t="n"/>
      <c r="F350" s="35">
        <f>IF(D350="","",D350+IF(E350="",Setup!$B$10,E350))</f>
        <v/>
      </c>
      <c r="G350" s="29" t="n"/>
      <c r="H350" s="29" t="n"/>
      <c r="I350" s="26">
        <f>IF(G350="","",G350-N(H350))</f>
        <v/>
      </c>
      <c r="J350" s="27" t="n"/>
      <c r="K350" s="24">
        <f>IF(G350="","",IF(I350&lt;=0,"Paid",IF(TODAY()&gt;F350,"Overdue","Open")))</f>
        <v/>
      </c>
      <c r="L350" s="33">
        <f>IF(K350="Overdue",TODAY()-F350,"")</f>
        <v/>
      </c>
      <c r="M350" s="28" t="n"/>
    </row>
    <row r="351">
      <c r="A351" s="28" t="n"/>
      <c r="B351" s="28" t="n"/>
      <c r="C351" s="28" t="n"/>
      <c r="D351" s="27" t="n"/>
      <c r="E351" s="34" t="n"/>
      <c r="F351" s="35">
        <f>IF(D351="","",D351+IF(E351="",Setup!$B$10,E351))</f>
        <v/>
      </c>
      <c r="G351" s="29" t="n"/>
      <c r="H351" s="29" t="n"/>
      <c r="I351" s="26">
        <f>IF(G351="","",G351-N(H351))</f>
        <v/>
      </c>
      <c r="J351" s="27" t="n"/>
      <c r="K351" s="24">
        <f>IF(G351="","",IF(I351&lt;=0,"Paid",IF(TODAY()&gt;F351,"Overdue","Open")))</f>
        <v/>
      </c>
      <c r="L351" s="33">
        <f>IF(K351="Overdue",TODAY()-F351,"")</f>
        <v/>
      </c>
      <c r="M351" s="28" t="n"/>
    </row>
    <row r="352">
      <c r="A352" s="28" t="n"/>
      <c r="B352" s="28" t="n"/>
      <c r="C352" s="28" t="n"/>
      <c r="D352" s="27" t="n"/>
      <c r="E352" s="34" t="n"/>
      <c r="F352" s="35">
        <f>IF(D352="","",D352+IF(E352="",Setup!$B$10,E352))</f>
        <v/>
      </c>
      <c r="G352" s="29" t="n"/>
      <c r="H352" s="29" t="n"/>
      <c r="I352" s="26">
        <f>IF(G352="","",G352-N(H352))</f>
        <v/>
      </c>
      <c r="J352" s="27" t="n"/>
      <c r="K352" s="24">
        <f>IF(G352="","",IF(I352&lt;=0,"Paid",IF(TODAY()&gt;F352,"Overdue","Open")))</f>
        <v/>
      </c>
      <c r="L352" s="33">
        <f>IF(K352="Overdue",TODAY()-F352,"")</f>
        <v/>
      </c>
      <c r="M352" s="28" t="n"/>
    </row>
    <row r="353">
      <c r="A353" s="28" t="n"/>
      <c r="B353" s="28" t="n"/>
      <c r="C353" s="28" t="n"/>
      <c r="D353" s="27" t="n"/>
      <c r="E353" s="34" t="n"/>
      <c r="F353" s="35">
        <f>IF(D353="","",D353+IF(E353="",Setup!$B$10,E353))</f>
        <v/>
      </c>
      <c r="G353" s="29" t="n"/>
      <c r="H353" s="29" t="n"/>
      <c r="I353" s="26">
        <f>IF(G353="","",G353-N(H353))</f>
        <v/>
      </c>
      <c r="J353" s="27" t="n"/>
      <c r="K353" s="24">
        <f>IF(G353="","",IF(I353&lt;=0,"Paid",IF(TODAY()&gt;F353,"Overdue","Open")))</f>
        <v/>
      </c>
      <c r="L353" s="33">
        <f>IF(K353="Overdue",TODAY()-F353,"")</f>
        <v/>
      </c>
      <c r="M353" s="28" t="n"/>
    </row>
    <row r="354">
      <c r="A354" s="28" t="n"/>
      <c r="B354" s="28" t="n"/>
      <c r="C354" s="28" t="n"/>
      <c r="D354" s="27" t="n"/>
      <c r="E354" s="34" t="n"/>
      <c r="F354" s="35">
        <f>IF(D354="","",D354+IF(E354="",Setup!$B$10,E354))</f>
        <v/>
      </c>
      <c r="G354" s="29" t="n"/>
      <c r="H354" s="29" t="n"/>
      <c r="I354" s="26">
        <f>IF(G354="","",G354-N(H354))</f>
        <v/>
      </c>
      <c r="J354" s="27" t="n"/>
      <c r="K354" s="24">
        <f>IF(G354="","",IF(I354&lt;=0,"Paid",IF(TODAY()&gt;F354,"Overdue","Open")))</f>
        <v/>
      </c>
      <c r="L354" s="33">
        <f>IF(K354="Overdue",TODAY()-F354,"")</f>
        <v/>
      </c>
      <c r="M354" s="28" t="n"/>
    </row>
    <row r="355">
      <c r="A355" s="28" t="n"/>
      <c r="B355" s="28" t="n"/>
      <c r="C355" s="28" t="n"/>
      <c r="D355" s="27" t="n"/>
      <c r="E355" s="34" t="n"/>
      <c r="F355" s="35">
        <f>IF(D355="","",D355+IF(E355="",Setup!$B$10,E355))</f>
        <v/>
      </c>
      <c r="G355" s="29" t="n"/>
      <c r="H355" s="29" t="n"/>
      <c r="I355" s="26">
        <f>IF(G355="","",G355-N(H355))</f>
        <v/>
      </c>
      <c r="J355" s="27" t="n"/>
      <c r="K355" s="24">
        <f>IF(G355="","",IF(I355&lt;=0,"Paid",IF(TODAY()&gt;F355,"Overdue","Open")))</f>
        <v/>
      </c>
      <c r="L355" s="33">
        <f>IF(K355="Overdue",TODAY()-F355,"")</f>
        <v/>
      </c>
      <c r="M355" s="28" t="n"/>
    </row>
    <row r="356">
      <c r="A356" s="28" t="n"/>
      <c r="B356" s="28" t="n"/>
      <c r="C356" s="28" t="n"/>
      <c r="D356" s="27" t="n"/>
      <c r="E356" s="34" t="n"/>
      <c r="F356" s="35">
        <f>IF(D356="","",D356+IF(E356="",Setup!$B$10,E356))</f>
        <v/>
      </c>
      <c r="G356" s="29" t="n"/>
      <c r="H356" s="29" t="n"/>
      <c r="I356" s="26">
        <f>IF(G356="","",G356-N(H356))</f>
        <v/>
      </c>
      <c r="J356" s="27" t="n"/>
      <c r="K356" s="24">
        <f>IF(G356="","",IF(I356&lt;=0,"Paid",IF(TODAY()&gt;F356,"Overdue","Open")))</f>
        <v/>
      </c>
      <c r="L356" s="33">
        <f>IF(K356="Overdue",TODAY()-F356,"")</f>
        <v/>
      </c>
      <c r="M356" s="28" t="n"/>
    </row>
    <row r="357">
      <c r="A357" s="28" t="n"/>
      <c r="B357" s="28" t="n"/>
      <c r="C357" s="28" t="n"/>
      <c r="D357" s="27" t="n"/>
      <c r="E357" s="34" t="n"/>
      <c r="F357" s="35">
        <f>IF(D357="","",D357+IF(E357="",Setup!$B$10,E357))</f>
        <v/>
      </c>
      <c r="G357" s="29" t="n"/>
      <c r="H357" s="29" t="n"/>
      <c r="I357" s="26">
        <f>IF(G357="","",G357-N(H357))</f>
        <v/>
      </c>
      <c r="J357" s="27" t="n"/>
      <c r="K357" s="24">
        <f>IF(G357="","",IF(I357&lt;=0,"Paid",IF(TODAY()&gt;F357,"Overdue","Open")))</f>
        <v/>
      </c>
      <c r="L357" s="33">
        <f>IF(K357="Overdue",TODAY()-F357,"")</f>
        <v/>
      </c>
      <c r="M357" s="28" t="n"/>
    </row>
    <row r="358">
      <c r="A358" s="28" t="n"/>
      <c r="B358" s="28" t="n"/>
      <c r="C358" s="28" t="n"/>
      <c r="D358" s="27" t="n"/>
      <c r="E358" s="34" t="n"/>
      <c r="F358" s="35">
        <f>IF(D358="","",D358+IF(E358="",Setup!$B$10,E358))</f>
        <v/>
      </c>
      <c r="G358" s="29" t="n"/>
      <c r="H358" s="29" t="n"/>
      <c r="I358" s="26">
        <f>IF(G358="","",G358-N(H358))</f>
        <v/>
      </c>
      <c r="J358" s="27" t="n"/>
      <c r="K358" s="24">
        <f>IF(G358="","",IF(I358&lt;=0,"Paid",IF(TODAY()&gt;F358,"Overdue","Open")))</f>
        <v/>
      </c>
      <c r="L358" s="33">
        <f>IF(K358="Overdue",TODAY()-F358,"")</f>
        <v/>
      </c>
      <c r="M358" s="28" t="n"/>
    </row>
    <row r="359">
      <c r="A359" s="28" t="n"/>
      <c r="B359" s="28" t="n"/>
      <c r="C359" s="28" t="n"/>
      <c r="D359" s="27" t="n"/>
      <c r="E359" s="34" t="n"/>
      <c r="F359" s="35">
        <f>IF(D359="","",D359+IF(E359="",Setup!$B$10,E359))</f>
        <v/>
      </c>
      <c r="G359" s="29" t="n"/>
      <c r="H359" s="29" t="n"/>
      <c r="I359" s="26">
        <f>IF(G359="","",G359-N(H359))</f>
        <v/>
      </c>
      <c r="J359" s="27" t="n"/>
      <c r="K359" s="24">
        <f>IF(G359="","",IF(I359&lt;=0,"Paid",IF(TODAY()&gt;F359,"Overdue","Open")))</f>
        <v/>
      </c>
      <c r="L359" s="33">
        <f>IF(K359="Overdue",TODAY()-F359,"")</f>
        <v/>
      </c>
      <c r="M359" s="28" t="n"/>
    </row>
    <row r="360">
      <c r="A360" s="28" t="n"/>
      <c r="B360" s="28" t="n"/>
      <c r="C360" s="28" t="n"/>
      <c r="D360" s="27" t="n"/>
      <c r="E360" s="34" t="n"/>
      <c r="F360" s="35">
        <f>IF(D360="","",D360+IF(E360="",Setup!$B$10,E360))</f>
        <v/>
      </c>
      <c r="G360" s="29" t="n"/>
      <c r="H360" s="29" t="n"/>
      <c r="I360" s="26">
        <f>IF(G360="","",G360-N(H360))</f>
        <v/>
      </c>
      <c r="J360" s="27" t="n"/>
      <c r="K360" s="24">
        <f>IF(G360="","",IF(I360&lt;=0,"Paid",IF(TODAY()&gt;F360,"Overdue","Open")))</f>
        <v/>
      </c>
      <c r="L360" s="33">
        <f>IF(K360="Overdue",TODAY()-F360,"")</f>
        <v/>
      </c>
      <c r="M360" s="28" t="n"/>
    </row>
    <row r="361">
      <c r="A361" s="28" t="n"/>
      <c r="B361" s="28" t="n"/>
      <c r="C361" s="28" t="n"/>
      <c r="D361" s="27" t="n"/>
      <c r="E361" s="34" t="n"/>
      <c r="F361" s="35">
        <f>IF(D361="","",D361+IF(E361="",Setup!$B$10,E361))</f>
        <v/>
      </c>
      <c r="G361" s="29" t="n"/>
      <c r="H361" s="29" t="n"/>
      <c r="I361" s="26">
        <f>IF(G361="","",G361-N(H361))</f>
        <v/>
      </c>
      <c r="J361" s="27" t="n"/>
      <c r="K361" s="24">
        <f>IF(G361="","",IF(I361&lt;=0,"Paid",IF(TODAY()&gt;F361,"Overdue","Open")))</f>
        <v/>
      </c>
      <c r="L361" s="33">
        <f>IF(K361="Overdue",TODAY()-F361,"")</f>
        <v/>
      </c>
      <c r="M361" s="28" t="n"/>
    </row>
    <row r="362">
      <c r="A362" s="28" t="n"/>
      <c r="B362" s="28" t="n"/>
      <c r="C362" s="28" t="n"/>
      <c r="D362" s="27" t="n"/>
      <c r="E362" s="34" t="n"/>
      <c r="F362" s="35">
        <f>IF(D362="","",D362+IF(E362="",Setup!$B$10,E362))</f>
        <v/>
      </c>
      <c r="G362" s="29" t="n"/>
      <c r="H362" s="29" t="n"/>
      <c r="I362" s="26">
        <f>IF(G362="","",G362-N(H362))</f>
        <v/>
      </c>
      <c r="J362" s="27" t="n"/>
      <c r="K362" s="24">
        <f>IF(G362="","",IF(I362&lt;=0,"Paid",IF(TODAY()&gt;F362,"Overdue","Open")))</f>
        <v/>
      </c>
      <c r="L362" s="33">
        <f>IF(K362="Overdue",TODAY()-F362,"")</f>
        <v/>
      </c>
      <c r="M362" s="28" t="n"/>
    </row>
    <row r="363">
      <c r="A363" s="28" t="n"/>
      <c r="B363" s="28" t="n"/>
      <c r="C363" s="28" t="n"/>
      <c r="D363" s="27" t="n"/>
      <c r="E363" s="34" t="n"/>
      <c r="F363" s="35">
        <f>IF(D363="","",D363+IF(E363="",Setup!$B$10,E363))</f>
        <v/>
      </c>
      <c r="G363" s="29" t="n"/>
      <c r="H363" s="29" t="n"/>
      <c r="I363" s="26">
        <f>IF(G363="","",G363-N(H363))</f>
        <v/>
      </c>
      <c r="J363" s="27" t="n"/>
      <c r="K363" s="24">
        <f>IF(G363="","",IF(I363&lt;=0,"Paid",IF(TODAY()&gt;F363,"Overdue","Open")))</f>
        <v/>
      </c>
      <c r="L363" s="33">
        <f>IF(K363="Overdue",TODAY()-F363,"")</f>
        <v/>
      </c>
      <c r="M363" s="28" t="n"/>
    </row>
    <row r="364">
      <c r="A364" s="28" t="n"/>
      <c r="B364" s="28" t="n"/>
      <c r="C364" s="28" t="n"/>
      <c r="D364" s="27" t="n"/>
      <c r="E364" s="34" t="n"/>
      <c r="F364" s="35">
        <f>IF(D364="","",D364+IF(E364="",Setup!$B$10,E364))</f>
        <v/>
      </c>
      <c r="G364" s="29" t="n"/>
      <c r="H364" s="29" t="n"/>
      <c r="I364" s="26">
        <f>IF(G364="","",G364-N(H364))</f>
        <v/>
      </c>
      <c r="J364" s="27" t="n"/>
      <c r="K364" s="24">
        <f>IF(G364="","",IF(I364&lt;=0,"Paid",IF(TODAY()&gt;F364,"Overdue","Open")))</f>
        <v/>
      </c>
      <c r="L364" s="33">
        <f>IF(K364="Overdue",TODAY()-F364,"")</f>
        <v/>
      </c>
      <c r="M364" s="28" t="n"/>
    </row>
    <row r="365">
      <c r="A365" s="28" t="n"/>
      <c r="B365" s="28" t="n"/>
      <c r="C365" s="28" t="n"/>
      <c r="D365" s="27" t="n"/>
      <c r="E365" s="34" t="n"/>
      <c r="F365" s="35">
        <f>IF(D365="","",D365+IF(E365="",Setup!$B$10,E365))</f>
        <v/>
      </c>
      <c r="G365" s="29" t="n"/>
      <c r="H365" s="29" t="n"/>
      <c r="I365" s="26">
        <f>IF(G365="","",G365-N(H365))</f>
        <v/>
      </c>
      <c r="J365" s="27" t="n"/>
      <c r="K365" s="24">
        <f>IF(G365="","",IF(I365&lt;=0,"Paid",IF(TODAY()&gt;F365,"Overdue","Open")))</f>
        <v/>
      </c>
      <c r="L365" s="33">
        <f>IF(K365="Overdue",TODAY()-F365,"")</f>
        <v/>
      </c>
      <c r="M365" s="28" t="n"/>
    </row>
    <row r="366">
      <c r="A366" s="28" t="n"/>
      <c r="B366" s="28" t="n"/>
      <c r="C366" s="28" t="n"/>
      <c r="D366" s="27" t="n"/>
      <c r="E366" s="34" t="n"/>
      <c r="F366" s="35">
        <f>IF(D366="","",D366+IF(E366="",Setup!$B$10,E366))</f>
        <v/>
      </c>
      <c r="G366" s="29" t="n"/>
      <c r="H366" s="29" t="n"/>
      <c r="I366" s="26">
        <f>IF(G366="","",G366-N(H366))</f>
        <v/>
      </c>
      <c r="J366" s="27" t="n"/>
      <c r="K366" s="24">
        <f>IF(G366="","",IF(I366&lt;=0,"Paid",IF(TODAY()&gt;F366,"Overdue","Open")))</f>
        <v/>
      </c>
      <c r="L366" s="33">
        <f>IF(K366="Overdue",TODAY()-F366,"")</f>
        <v/>
      </c>
      <c r="M366" s="28" t="n"/>
    </row>
    <row r="367">
      <c r="A367" s="28" t="n"/>
      <c r="B367" s="28" t="n"/>
      <c r="C367" s="28" t="n"/>
      <c r="D367" s="27" t="n"/>
      <c r="E367" s="34" t="n"/>
      <c r="F367" s="35">
        <f>IF(D367="","",D367+IF(E367="",Setup!$B$10,E367))</f>
        <v/>
      </c>
      <c r="G367" s="29" t="n"/>
      <c r="H367" s="29" t="n"/>
      <c r="I367" s="26">
        <f>IF(G367="","",G367-N(H367))</f>
        <v/>
      </c>
      <c r="J367" s="27" t="n"/>
      <c r="K367" s="24">
        <f>IF(G367="","",IF(I367&lt;=0,"Paid",IF(TODAY()&gt;F367,"Overdue","Open")))</f>
        <v/>
      </c>
      <c r="L367" s="33">
        <f>IF(K367="Overdue",TODAY()-F367,"")</f>
        <v/>
      </c>
      <c r="M367" s="28" t="n"/>
    </row>
    <row r="368">
      <c r="A368" s="28" t="n"/>
      <c r="B368" s="28" t="n"/>
      <c r="C368" s="28" t="n"/>
      <c r="D368" s="27" t="n"/>
      <c r="E368" s="34" t="n"/>
      <c r="F368" s="35">
        <f>IF(D368="","",D368+IF(E368="",Setup!$B$10,E368))</f>
        <v/>
      </c>
      <c r="G368" s="29" t="n"/>
      <c r="H368" s="29" t="n"/>
      <c r="I368" s="26">
        <f>IF(G368="","",G368-N(H368))</f>
        <v/>
      </c>
      <c r="J368" s="27" t="n"/>
      <c r="K368" s="24">
        <f>IF(G368="","",IF(I368&lt;=0,"Paid",IF(TODAY()&gt;F368,"Overdue","Open")))</f>
        <v/>
      </c>
      <c r="L368" s="33">
        <f>IF(K368="Overdue",TODAY()-F368,"")</f>
        <v/>
      </c>
      <c r="M368" s="28" t="n"/>
    </row>
    <row r="369">
      <c r="A369" s="28" t="n"/>
      <c r="B369" s="28" t="n"/>
      <c r="C369" s="28" t="n"/>
      <c r="D369" s="27" t="n"/>
      <c r="E369" s="34" t="n"/>
      <c r="F369" s="35">
        <f>IF(D369="","",D369+IF(E369="",Setup!$B$10,E369))</f>
        <v/>
      </c>
      <c r="G369" s="29" t="n"/>
      <c r="H369" s="29" t="n"/>
      <c r="I369" s="26">
        <f>IF(G369="","",G369-N(H369))</f>
        <v/>
      </c>
      <c r="J369" s="27" t="n"/>
      <c r="K369" s="24">
        <f>IF(G369="","",IF(I369&lt;=0,"Paid",IF(TODAY()&gt;F369,"Overdue","Open")))</f>
        <v/>
      </c>
      <c r="L369" s="33">
        <f>IF(K369="Overdue",TODAY()-F369,"")</f>
        <v/>
      </c>
      <c r="M369" s="28" t="n"/>
    </row>
    <row r="370">
      <c r="A370" s="28" t="n"/>
      <c r="B370" s="28" t="n"/>
      <c r="C370" s="28" t="n"/>
      <c r="D370" s="27" t="n"/>
      <c r="E370" s="34" t="n"/>
      <c r="F370" s="35">
        <f>IF(D370="","",D370+IF(E370="",Setup!$B$10,E370))</f>
        <v/>
      </c>
      <c r="G370" s="29" t="n"/>
      <c r="H370" s="29" t="n"/>
      <c r="I370" s="26">
        <f>IF(G370="","",G370-N(H370))</f>
        <v/>
      </c>
      <c r="J370" s="27" t="n"/>
      <c r="K370" s="24">
        <f>IF(G370="","",IF(I370&lt;=0,"Paid",IF(TODAY()&gt;F370,"Overdue","Open")))</f>
        <v/>
      </c>
      <c r="L370" s="33">
        <f>IF(K370="Overdue",TODAY()-F370,"")</f>
        <v/>
      </c>
      <c r="M370" s="28" t="n"/>
    </row>
    <row r="371">
      <c r="A371" s="28" t="n"/>
      <c r="B371" s="28" t="n"/>
      <c r="C371" s="28" t="n"/>
      <c r="D371" s="27" t="n"/>
      <c r="E371" s="34" t="n"/>
      <c r="F371" s="35">
        <f>IF(D371="","",D371+IF(E371="",Setup!$B$10,E371))</f>
        <v/>
      </c>
      <c r="G371" s="29" t="n"/>
      <c r="H371" s="29" t="n"/>
      <c r="I371" s="26">
        <f>IF(G371="","",G371-N(H371))</f>
        <v/>
      </c>
      <c r="J371" s="27" t="n"/>
      <c r="K371" s="24">
        <f>IF(G371="","",IF(I371&lt;=0,"Paid",IF(TODAY()&gt;F371,"Overdue","Open")))</f>
        <v/>
      </c>
      <c r="L371" s="33">
        <f>IF(K371="Overdue",TODAY()-F371,"")</f>
        <v/>
      </c>
      <c r="M371" s="28" t="n"/>
    </row>
    <row r="372">
      <c r="A372" s="28" t="n"/>
      <c r="B372" s="28" t="n"/>
      <c r="C372" s="28" t="n"/>
      <c r="D372" s="27" t="n"/>
      <c r="E372" s="34" t="n"/>
      <c r="F372" s="35">
        <f>IF(D372="","",D372+IF(E372="",Setup!$B$10,E372))</f>
        <v/>
      </c>
      <c r="G372" s="29" t="n"/>
      <c r="H372" s="29" t="n"/>
      <c r="I372" s="26">
        <f>IF(G372="","",G372-N(H372))</f>
        <v/>
      </c>
      <c r="J372" s="27" t="n"/>
      <c r="K372" s="24">
        <f>IF(G372="","",IF(I372&lt;=0,"Paid",IF(TODAY()&gt;F372,"Overdue","Open")))</f>
        <v/>
      </c>
      <c r="L372" s="33">
        <f>IF(K372="Overdue",TODAY()-F372,"")</f>
        <v/>
      </c>
      <c r="M372" s="28" t="n"/>
    </row>
    <row r="373">
      <c r="A373" s="28" t="n"/>
      <c r="B373" s="28" t="n"/>
      <c r="C373" s="28" t="n"/>
      <c r="D373" s="27" t="n"/>
      <c r="E373" s="34" t="n"/>
      <c r="F373" s="35">
        <f>IF(D373="","",D373+IF(E373="",Setup!$B$10,E373))</f>
        <v/>
      </c>
      <c r="G373" s="29" t="n"/>
      <c r="H373" s="29" t="n"/>
      <c r="I373" s="26">
        <f>IF(G373="","",G373-N(H373))</f>
        <v/>
      </c>
      <c r="J373" s="27" t="n"/>
      <c r="K373" s="24">
        <f>IF(G373="","",IF(I373&lt;=0,"Paid",IF(TODAY()&gt;F373,"Overdue","Open")))</f>
        <v/>
      </c>
      <c r="L373" s="33">
        <f>IF(K373="Overdue",TODAY()-F373,"")</f>
        <v/>
      </c>
      <c r="M373" s="28" t="n"/>
    </row>
    <row r="374">
      <c r="A374" s="28" t="n"/>
      <c r="B374" s="28" t="n"/>
      <c r="C374" s="28" t="n"/>
      <c r="D374" s="27" t="n"/>
      <c r="E374" s="34" t="n"/>
      <c r="F374" s="35">
        <f>IF(D374="","",D374+IF(E374="",Setup!$B$10,E374))</f>
        <v/>
      </c>
      <c r="G374" s="29" t="n"/>
      <c r="H374" s="29" t="n"/>
      <c r="I374" s="26">
        <f>IF(G374="","",G374-N(H374))</f>
        <v/>
      </c>
      <c r="J374" s="27" t="n"/>
      <c r="K374" s="24">
        <f>IF(G374="","",IF(I374&lt;=0,"Paid",IF(TODAY()&gt;F374,"Overdue","Open")))</f>
        <v/>
      </c>
      <c r="L374" s="33">
        <f>IF(K374="Overdue",TODAY()-F374,"")</f>
        <v/>
      </c>
      <c r="M374" s="28" t="n"/>
    </row>
    <row r="375">
      <c r="A375" s="28" t="n"/>
      <c r="B375" s="28" t="n"/>
      <c r="C375" s="28" t="n"/>
      <c r="D375" s="27" t="n"/>
      <c r="E375" s="34" t="n"/>
      <c r="F375" s="35">
        <f>IF(D375="","",D375+IF(E375="",Setup!$B$10,E375))</f>
        <v/>
      </c>
      <c r="G375" s="29" t="n"/>
      <c r="H375" s="29" t="n"/>
      <c r="I375" s="26">
        <f>IF(G375="","",G375-N(H375))</f>
        <v/>
      </c>
      <c r="J375" s="27" t="n"/>
      <c r="K375" s="24">
        <f>IF(G375="","",IF(I375&lt;=0,"Paid",IF(TODAY()&gt;F375,"Overdue","Open")))</f>
        <v/>
      </c>
      <c r="L375" s="33">
        <f>IF(K375="Overdue",TODAY()-F375,"")</f>
        <v/>
      </c>
      <c r="M375" s="28" t="n"/>
    </row>
    <row r="376">
      <c r="A376" s="28" t="n"/>
      <c r="B376" s="28" t="n"/>
      <c r="C376" s="28" t="n"/>
      <c r="D376" s="27" t="n"/>
      <c r="E376" s="34" t="n"/>
      <c r="F376" s="35">
        <f>IF(D376="","",D376+IF(E376="",Setup!$B$10,E376))</f>
        <v/>
      </c>
      <c r="G376" s="29" t="n"/>
      <c r="H376" s="29" t="n"/>
      <c r="I376" s="26">
        <f>IF(G376="","",G376-N(H376))</f>
        <v/>
      </c>
      <c r="J376" s="27" t="n"/>
      <c r="K376" s="24">
        <f>IF(G376="","",IF(I376&lt;=0,"Paid",IF(TODAY()&gt;F376,"Overdue","Open")))</f>
        <v/>
      </c>
      <c r="L376" s="33">
        <f>IF(K376="Overdue",TODAY()-F376,"")</f>
        <v/>
      </c>
      <c r="M376" s="28" t="n"/>
    </row>
    <row r="377">
      <c r="A377" s="28" t="n"/>
      <c r="B377" s="28" t="n"/>
      <c r="C377" s="28" t="n"/>
      <c r="D377" s="27" t="n"/>
      <c r="E377" s="34" t="n"/>
      <c r="F377" s="35">
        <f>IF(D377="","",D377+IF(E377="",Setup!$B$10,E377))</f>
        <v/>
      </c>
      <c r="G377" s="29" t="n"/>
      <c r="H377" s="29" t="n"/>
      <c r="I377" s="26">
        <f>IF(G377="","",G377-N(H377))</f>
        <v/>
      </c>
      <c r="J377" s="27" t="n"/>
      <c r="K377" s="24">
        <f>IF(G377="","",IF(I377&lt;=0,"Paid",IF(TODAY()&gt;F377,"Overdue","Open")))</f>
        <v/>
      </c>
      <c r="L377" s="33">
        <f>IF(K377="Overdue",TODAY()-F377,"")</f>
        <v/>
      </c>
      <c r="M377" s="28" t="n"/>
    </row>
    <row r="378">
      <c r="A378" s="28" t="n"/>
      <c r="B378" s="28" t="n"/>
      <c r="C378" s="28" t="n"/>
      <c r="D378" s="27" t="n"/>
      <c r="E378" s="34" t="n"/>
      <c r="F378" s="35">
        <f>IF(D378="","",D378+IF(E378="",Setup!$B$10,E378))</f>
        <v/>
      </c>
      <c r="G378" s="29" t="n"/>
      <c r="H378" s="29" t="n"/>
      <c r="I378" s="26">
        <f>IF(G378="","",G378-N(H378))</f>
        <v/>
      </c>
      <c r="J378" s="27" t="n"/>
      <c r="K378" s="24">
        <f>IF(G378="","",IF(I378&lt;=0,"Paid",IF(TODAY()&gt;F378,"Overdue","Open")))</f>
        <v/>
      </c>
      <c r="L378" s="33">
        <f>IF(K378="Overdue",TODAY()-F378,"")</f>
        <v/>
      </c>
      <c r="M378" s="28" t="n"/>
    </row>
    <row r="379">
      <c r="A379" s="28" t="n"/>
      <c r="B379" s="28" t="n"/>
      <c r="C379" s="28" t="n"/>
      <c r="D379" s="27" t="n"/>
      <c r="E379" s="34" t="n"/>
      <c r="F379" s="35">
        <f>IF(D379="","",D379+IF(E379="",Setup!$B$10,E379))</f>
        <v/>
      </c>
      <c r="G379" s="29" t="n"/>
      <c r="H379" s="29" t="n"/>
      <c r="I379" s="26">
        <f>IF(G379="","",G379-N(H379))</f>
        <v/>
      </c>
      <c r="J379" s="27" t="n"/>
      <c r="K379" s="24">
        <f>IF(G379="","",IF(I379&lt;=0,"Paid",IF(TODAY()&gt;F379,"Overdue","Open")))</f>
        <v/>
      </c>
      <c r="L379" s="33">
        <f>IF(K379="Overdue",TODAY()-F379,"")</f>
        <v/>
      </c>
      <c r="M379" s="28" t="n"/>
    </row>
    <row r="380">
      <c r="A380" s="28" t="n"/>
      <c r="B380" s="28" t="n"/>
      <c r="C380" s="28" t="n"/>
      <c r="D380" s="27" t="n"/>
      <c r="E380" s="34" t="n"/>
      <c r="F380" s="35">
        <f>IF(D380="","",D380+IF(E380="",Setup!$B$10,E380))</f>
        <v/>
      </c>
      <c r="G380" s="29" t="n"/>
      <c r="H380" s="29" t="n"/>
      <c r="I380" s="26">
        <f>IF(G380="","",G380-N(H380))</f>
        <v/>
      </c>
      <c r="J380" s="27" t="n"/>
      <c r="K380" s="24">
        <f>IF(G380="","",IF(I380&lt;=0,"Paid",IF(TODAY()&gt;F380,"Overdue","Open")))</f>
        <v/>
      </c>
      <c r="L380" s="33">
        <f>IF(K380="Overdue",TODAY()-F380,"")</f>
        <v/>
      </c>
      <c r="M380" s="28" t="n"/>
    </row>
    <row r="381">
      <c r="A381" s="28" t="n"/>
      <c r="B381" s="28" t="n"/>
      <c r="C381" s="28" t="n"/>
      <c r="D381" s="27" t="n"/>
      <c r="E381" s="34" t="n"/>
      <c r="F381" s="35">
        <f>IF(D381="","",D381+IF(E381="",Setup!$B$10,E381))</f>
        <v/>
      </c>
      <c r="G381" s="29" t="n"/>
      <c r="H381" s="29" t="n"/>
      <c r="I381" s="26">
        <f>IF(G381="","",G381-N(H381))</f>
        <v/>
      </c>
      <c r="J381" s="27" t="n"/>
      <c r="K381" s="24">
        <f>IF(G381="","",IF(I381&lt;=0,"Paid",IF(TODAY()&gt;F381,"Overdue","Open")))</f>
        <v/>
      </c>
      <c r="L381" s="33">
        <f>IF(K381="Overdue",TODAY()-F381,"")</f>
        <v/>
      </c>
      <c r="M381" s="28" t="n"/>
    </row>
    <row r="382">
      <c r="A382" s="28" t="n"/>
      <c r="B382" s="28" t="n"/>
      <c r="C382" s="28" t="n"/>
      <c r="D382" s="27" t="n"/>
      <c r="E382" s="34" t="n"/>
      <c r="F382" s="35">
        <f>IF(D382="","",D382+IF(E382="",Setup!$B$10,E382))</f>
        <v/>
      </c>
      <c r="G382" s="29" t="n"/>
      <c r="H382" s="29" t="n"/>
      <c r="I382" s="26">
        <f>IF(G382="","",G382-N(H382))</f>
        <v/>
      </c>
      <c r="J382" s="27" t="n"/>
      <c r="K382" s="24">
        <f>IF(G382="","",IF(I382&lt;=0,"Paid",IF(TODAY()&gt;F382,"Overdue","Open")))</f>
        <v/>
      </c>
      <c r="L382" s="33">
        <f>IF(K382="Overdue",TODAY()-F382,"")</f>
        <v/>
      </c>
      <c r="M382" s="28" t="n"/>
    </row>
    <row r="383">
      <c r="A383" s="28" t="n"/>
      <c r="B383" s="28" t="n"/>
      <c r="C383" s="28" t="n"/>
      <c r="D383" s="27" t="n"/>
      <c r="E383" s="34" t="n"/>
      <c r="F383" s="35">
        <f>IF(D383="","",D383+IF(E383="",Setup!$B$10,E383))</f>
        <v/>
      </c>
      <c r="G383" s="29" t="n"/>
      <c r="H383" s="29" t="n"/>
      <c r="I383" s="26">
        <f>IF(G383="","",G383-N(H383))</f>
        <v/>
      </c>
      <c r="J383" s="27" t="n"/>
      <c r="K383" s="24">
        <f>IF(G383="","",IF(I383&lt;=0,"Paid",IF(TODAY()&gt;F383,"Overdue","Open")))</f>
        <v/>
      </c>
      <c r="L383" s="33">
        <f>IF(K383="Overdue",TODAY()-F383,"")</f>
        <v/>
      </c>
      <c r="M383" s="28" t="n"/>
    </row>
    <row r="384">
      <c r="A384" s="28" t="n"/>
      <c r="B384" s="28" t="n"/>
      <c r="C384" s="28" t="n"/>
      <c r="D384" s="27" t="n"/>
      <c r="E384" s="34" t="n"/>
      <c r="F384" s="35">
        <f>IF(D384="","",D384+IF(E384="",Setup!$B$10,E384))</f>
        <v/>
      </c>
      <c r="G384" s="29" t="n"/>
      <c r="H384" s="29" t="n"/>
      <c r="I384" s="26">
        <f>IF(G384="","",G384-N(H384))</f>
        <v/>
      </c>
      <c r="J384" s="27" t="n"/>
      <c r="K384" s="24">
        <f>IF(G384="","",IF(I384&lt;=0,"Paid",IF(TODAY()&gt;F384,"Overdue","Open")))</f>
        <v/>
      </c>
      <c r="L384" s="33">
        <f>IF(K384="Overdue",TODAY()-F384,"")</f>
        <v/>
      </c>
      <c r="M384" s="28" t="n"/>
    </row>
    <row r="385">
      <c r="A385" s="28" t="n"/>
      <c r="B385" s="28" t="n"/>
      <c r="C385" s="28" t="n"/>
      <c r="D385" s="27" t="n"/>
      <c r="E385" s="34" t="n"/>
      <c r="F385" s="35">
        <f>IF(D385="","",D385+IF(E385="",Setup!$B$10,E385))</f>
        <v/>
      </c>
      <c r="G385" s="29" t="n"/>
      <c r="H385" s="29" t="n"/>
      <c r="I385" s="26">
        <f>IF(G385="","",G385-N(H385))</f>
        <v/>
      </c>
      <c r="J385" s="27" t="n"/>
      <c r="K385" s="24">
        <f>IF(G385="","",IF(I385&lt;=0,"Paid",IF(TODAY()&gt;F385,"Overdue","Open")))</f>
        <v/>
      </c>
      <c r="L385" s="33">
        <f>IF(K385="Overdue",TODAY()-F385,"")</f>
        <v/>
      </c>
      <c r="M385" s="28" t="n"/>
    </row>
    <row r="386">
      <c r="A386" s="28" t="n"/>
      <c r="B386" s="28" t="n"/>
      <c r="C386" s="28" t="n"/>
      <c r="D386" s="27" t="n"/>
      <c r="E386" s="34" t="n"/>
      <c r="F386" s="35">
        <f>IF(D386="","",D386+IF(E386="",Setup!$B$10,E386))</f>
        <v/>
      </c>
      <c r="G386" s="29" t="n"/>
      <c r="H386" s="29" t="n"/>
      <c r="I386" s="26">
        <f>IF(G386="","",G386-N(H386))</f>
        <v/>
      </c>
      <c r="J386" s="27" t="n"/>
      <c r="K386" s="24">
        <f>IF(G386="","",IF(I386&lt;=0,"Paid",IF(TODAY()&gt;F386,"Overdue","Open")))</f>
        <v/>
      </c>
      <c r="L386" s="33">
        <f>IF(K386="Overdue",TODAY()-F386,"")</f>
        <v/>
      </c>
      <c r="M386" s="28" t="n"/>
    </row>
    <row r="387">
      <c r="A387" s="28" t="n"/>
      <c r="B387" s="28" t="n"/>
      <c r="C387" s="28" t="n"/>
      <c r="D387" s="27" t="n"/>
      <c r="E387" s="34" t="n"/>
      <c r="F387" s="35">
        <f>IF(D387="","",D387+IF(E387="",Setup!$B$10,E387))</f>
        <v/>
      </c>
      <c r="G387" s="29" t="n"/>
      <c r="H387" s="29" t="n"/>
      <c r="I387" s="26">
        <f>IF(G387="","",G387-N(H387))</f>
        <v/>
      </c>
      <c r="J387" s="27" t="n"/>
      <c r="K387" s="24">
        <f>IF(G387="","",IF(I387&lt;=0,"Paid",IF(TODAY()&gt;F387,"Overdue","Open")))</f>
        <v/>
      </c>
      <c r="L387" s="33">
        <f>IF(K387="Overdue",TODAY()-F387,"")</f>
        <v/>
      </c>
      <c r="M387" s="28" t="n"/>
    </row>
    <row r="388">
      <c r="A388" s="28" t="n"/>
      <c r="B388" s="28" t="n"/>
      <c r="C388" s="28" t="n"/>
      <c r="D388" s="27" t="n"/>
      <c r="E388" s="34" t="n"/>
      <c r="F388" s="35">
        <f>IF(D388="","",D388+IF(E388="",Setup!$B$10,E388))</f>
        <v/>
      </c>
      <c r="G388" s="29" t="n"/>
      <c r="H388" s="29" t="n"/>
      <c r="I388" s="26">
        <f>IF(G388="","",G388-N(H388))</f>
        <v/>
      </c>
      <c r="J388" s="27" t="n"/>
      <c r="K388" s="24">
        <f>IF(G388="","",IF(I388&lt;=0,"Paid",IF(TODAY()&gt;F388,"Overdue","Open")))</f>
        <v/>
      </c>
      <c r="L388" s="33">
        <f>IF(K388="Overdue",TODAY()-F388,"")</f>
        <v/>
      </c>
      <c r="M388" s="28" t="n"/>
    </row>
    <row r="389">
      <c r="A389" s="28" t="n"/>
      <c r="B389" s="28" t="n"/>
      <c r="C389" s="28" t="n"/>
      <c r="D389" s="27" t="n"/>
      <c r="E389" s="34" t="n"/>
      <c r="F389" s="35">
        <f>IF(D389="","",D389+IF(E389="",Setup!$B$10,E389))</f>
        <v/>
      </c>
      <c r="G389" s="29" t="n"/>
      <c r="H389" s="29" t="n"/>
      <c r="I389" s="26">
        <f>IF(G389="","",G389-N(H389))</f>
        <v/>
      </c>
      <c r="J389" s="27" t="n"/>
      <c r="K389" s="24">
        <f>IF(G389="","",IF(I389&lt;=0,"Paid",IF(TODAY()&gt;F389,"Overdue","Open")))</f>
        <v/>
      </c>
      <c r="L389" s="33">
        <f>IF(K389="Overdue",TODAY()-F389,"")</f>
        <v/>
      </c>
      <c r="M389" s="28" t="n"/>
    </row>
    <row r="390">
      <c r="A390" s="28" t="n"/>
      <c r="B390" s="28" t="n"/>
      <c r="C390" s="28" t="n"/>
      <c r="D390" s="27" t="n"/>
      <c r="E390" s="34" t="n"/>
      <c r="F390" s="35">
        <f>IF(D390="","",D390+IF(E390="",Setup!$B$10,E390))</f>
        <v/>
      </c>
      <c r="G390" s="29" t="n"/>
      <c r="H390" s="29" t="n"/>
      <c r="I390" s="26">
        <f>IF(G390="","",G390-N(H390))</f>
        <v/>
      </c>
      <c r="J390" s="27" t="n"/>
      <c r="K390" s="24">
        <f>IF(G390="","",IF(I390&lt;=0,"Paid",IF(TODAY()&gt;F390,"Overdue","Open")))</f>
        <v/>
      </c>
      <c r="L390" s="33">
        <f>IF(K390="Overdue",TODAY()-F390,"")</f>
        <v/>
      </c>
      <c r="M390" s="28" t="n"/>
    </row>
    <row r="391">
      <c r="A391" s="28" t="n"/>
      <c r="B391" s="28" t="n"/>
      <c r="C391" s="28" t="n"/>
      <c r="D391" s="27" t="n"/>
      <c r="E391" s="34" t="n"/>
      <c r="F391" s="35">
        <f>IF(D391="","",D391+IF(E391="",Setup!$B$10,E391))</f>
        <v/>
      </c>
      <c r="G391" s="29" t="n"/>
      <c r="H391" s="29" t="n"/>
      <c r="I391" s="26">
        <f>IF(G391="","",G391-N(H391))</f>
        <v/>
      </c>
      <c r="J391" s="27" t="n"/>
      <c r="K391" s="24">
        <f>IF(G391="","",IF(I391&lt;=0,"Paid",IF(TODAY()&gt;F391,"Overdue","Open")))</f>
        <v/>
      </c>
      <c r="L391" s="33">
        <f>IF(K391="Overdue",TODAY()-F391,"")</f>
        <v/>
      </c>
      <c r="M391" s="28" t="n"/>
    </row>
    <row r="392">
      <c r="A392" s="28" t="n"/>
      <c r="B392" s="28" t="n"/>
      <c r="C392" s="28" t="n"/>
      <c r="D392" s="27" t="n"/>
      <c r="E392" s="34" t="n"/>
      <c r="F392" s="35">
        <f>IF(D392="","",D392+IF(E392="",Setup!$B$10,E392))</f>
        <v/>
      </c>
      <c r="G392" s="29" t="n"/>
      <c r="H392" s="29" t="n"/>
      <c r="I392" s="26">
        <f>IF(G392="","",G392-N(H392))</f>
        <v/>
      </c>
      <c r="J392" s="27" t="n"/>
      <c r="K392" s="24">
        <f>IF(G392="","",IF(I392&lt;=0,"Paid",IF(TODAY()&gt;F392,"Overdue","Open")))</f>
        <v/>
      </c>
      <c r="L392" s="33">
        <f>IF(K392="Overdue",TODAY()-F392,"")</f>
        <v/>
      </c>
      <c r="M392" s="28" t="n"/>
    </row>
    <row r="393">
      <c r="A393" s="28" t="n"/>
      <c r="B393" s="28" t="n"/>
      <c r="C393" s="28" t="n"/>
      <c r="D393" s="27" t="n"/>
      <c r="E393" s="34" t="n"/>
      <c r="F393" s="35">
        <f>IF(D393="","",D393+IF(E393="",Setup!$B$10,E393))</f>
        <v/>
      </c>
      <c r="G393" s="29" t="n"/>
      <c r="H393" s="29" t="n"/>
      <c r="I393" s="26">
        <f>IF(G393="","",G393-N(H393))</f>
        <v/>
      </c>
      <c r="J393" s="27" t="n"/>
      <c r="K393" s="24">
        <f>IF(G393="","",IF(I393&lt;=0,"Paid",IF(TODAY()&gt;F393,"Overdue","Open")))</f>
        <v/>
      </c>
      <c r="L393" s="33">
        <f>IF(K393="Overdue",TODAY()-F393,"")</f>
        <v/>
      </c>
      <c r="M393" s="28" t="n"/>
    </row>
    <row r="394">
      <c r="A394" s="28" t="n"/>
      <c r="B394" s="28" t="n"/>
      <c r="C394" s="28" t="n"/>
      <c r="D394" s="27" t="n"/>
      <c r="E394" s="34" t="n"/>
      <c r="F394" s="35">
        <f>IF(D394="","",D394+IF(E394="",Setup!$B$10,E394))</f>
        <v/>
      </c>
      <c r="G394" s="29" t="n"/>
      <c r="H394" s="29" t="n"/>
      <c r="I394" s="26">
        <f>IF(G394="","",G394-N(H394))</f>
        <v/>
      </c>
      <c r="J394" s="27" t="n"/>
      <c r="K394" s="24">
        <f>IF(G394="","",IF(I394&lt;=0,"Paid",IF(TODAY()&gt;F394,"Overdue","Open")))</f>
        <v/>
      </c>
      <c r="L394" s="33">
        <f>IF(K394="Overdue",TODAY()-F394,"")</f>
        <v/>
      </c>
      <c r="M394" s="28" t="n"/>
    </row>
    <row r="395">
      <c r="A395" s="28" t="n"/>
      <c r="B395" s="28" t="n"/>
      <c r="C395" s="28" t="n"/>
      <c r="D395" s="27" t="n"/>
      <c r="E395" s="34" t="n"/>
      <c r="F395" s="35">
        <f>IF(D395="","",D395+IF(E395="",Setup!$B$10,E395))</f>
        <v/>
      </c>
      <c r="G395" s="29" t="n"/>
      <c r="H395" s="29" t="n"/>
      <c r="I395" s="26">
        <f>IF(G395="","",G395-N(H395))</f>
        <v/>
      </c>
      <c r="J395" s="27" t="n"/>
      <c r="K395" s="24">
        <f>IF(G395="","",IF(I395&lt;=0,"Paid",IF(TODAY()&gt;F395,"Overdue","Open")))</f>
        <v/>
      </c>
      <c r="L395" s="33">
        <f>IF(K395="Overdue",TODAY()-F395,"")</f>
        <v/>
      </c>
      <c r="M395" s="28" t="n"/>
    </row>
    <row r="396">
      <c r="A396" s="28" t="n"/>
      <c r="B396" s="28" t="n"/>
      <c r="C396" s="28" t="n"/>
      <c r="D396" s="27" t="n"/>
      <c r="E396" s="34" t="n"/>
      <c r="F396" s="35">
        <f>IF(D396="","",D396+IF(E396="",Setup!$B$10,E396))</f>
        <v/>
      </c>
      <c r="G396" s="29" t="n"/>
      <c r="H396" s="29" t="n"/>
      <c r="I396" s="26">
        <f>IF(G396="","",G396-N(H396))</f>
        <v/>
      </c>
      <c r="J396" s="27" t="n"/>
      <c r="K396" s="24">
        <f>IF(G396="","",IF(I396&lt;=0,"Paid",IF(TODAY()&gt;F396,"Overdue","Open")))</f>
        <v/>
      </c>
      <c r="L396" s="33">
        <f>IF(K396="Overdue",TODAY()-F396,"")</f>
        <v/>
      </c>
      <c r="M396" s="28" t="n"/>
    </row>
    <row r="397">
      <c r="A397" s="28" t="n"/>
      <c r="B397" s="28" t="n"/>
      <c r="C397" s="28" t="n"/>
      <c r="D397" s="27" t="n"/>
      <c r="E397" s="34" t="n"/>
      <c r="F397" s="35">
        <f>IF(D397="","",D397+IF(E397="",Setup!$B$10,E397))</f>
        <v/>
      </c>
      <c r="G397" s="29" t="n"/>
      <c r="H397" s="29" t="n"/>
      <c r="I397" s="26">
        <f>IF(G397="","",G397-N(H397))</f>
        <v/>
      </c>
      <c r="J397" s="27" t="n"/>
      <c r="K397" s="24">
        <f>IF(G397="","",IF(I397&lt;=0,"Paid",IF(TODAY()&gt;F397,"Overdue","Open")))</f>
        <v/>
      </c>
      <c r="L397" s="33">
        <f>IF(K397="Overdue",TODAY()-F397,"")</f>
        <v/>
      </c>
      <c r="M397" s="28" t="n"/>
    </row>
    <row r="398">
      <c r="A398" s="28" t="n"/>
      <c r="B398" s="28" t="n"/>
      <c r="C398" s="28" t="n"/>
      <c r="D398" s="27" t="n"/>
      <c r="E398" s="34" t="n"/>
      <c r="F398" s="35">
        <f>IF(D398="","",D398+IF(E398="",Setup!$B$10,E398))</f>
        <v/>
      </c>
      <c r="G398" s="29" t="n"/>
      <c r="H398" s="29" t="n"/>
      <c r="I398" s="26">
        <f>IF(G398="","",G398-N(H398))</f>
        <v/>
      </c>
      <c r="J398" s="27" t="n"/>
      <c r="K398" s="24">
        <f>IF(G398="","",IF(I398&lt;=0,"Paid",IF(TODAY()&gt;F398,"Overdue","Open")))</f>
        <v/>
      </c>
      <c r="L398" s="33">
        <f>IF(K398="Overdue",TODAY()-F398,"")</f>
        <v/>
      </c>
      <c r="M398" s="28" t="n"/>
    </row>
    <row r="399">
      <c r="A399" s="28" t="n"/>
      <c r="B399" s="28" t="n"/>
      <c r="C399" s="28" t="n"/>
      <c r="D399" s="27" t="n"/>
      <c r="E399" s="34" t="n"/>
      <c r="F399" s="35">
        <f>IF(D399="","",D399+IF(E399="",Setup!$B$10,E399))</f>
        <v/>
      </c>
      <c r="G399" s="29" t="n"/>
      <c r="H399" s="29" t="n"/>
      <c r="I399" s="26">
        <f>IF(G399="","",G399-N(H399))</f>
        <v/>
      </c>
      <c r="J399" s="27" t="n"/>
      <c r="K399" s="24">
        <f>IF(G399="","",IF(I399&lt;=0,"Paid",IF(TODAY()&gt;F399,"Overdue","Open")))</f>
        <v/>
      </c>
      <c r="L399" s="33">
        <f>IF(K399="Overdue",TODAY()-F399,"")</f>
        <v/>
      </c>
      <c r="M399" s="28" t="n"/>
    </row>
    <row r="400">
      <c r="A400" s="28" t="n"/>
      <c r="B400" s="28" t="n"/>
      <c r="C400" s="28" t="n"/>
      <c r="D400" s="27" t="n"/>
      <c r="E400" s="34" t="n"/>
      <c r="F400" s="35">
        <f>IF(D400="","",D400+IF(E400="",Setup!$B$10,E400))</f>
        <v/>
      </c>
      <c r="G400" s="29" t="n"/>
      <c r="H400" s="29" t="n"/>
      <c r="I400" s="26">
        <f>IF(G400="","",G400-N(H400))</f>
        <v/>
      </c>
      <c r="J400" s="27" t="n"/>
      <c r="K400" s="24">
        <f>IF(G400="","",IF(I400&lt;=0,"Paid",IF(TODAY()&gt;F400,"Overdue","Open")))</f>
        <v/>
      </c>
      <c r="L400" s="33">
        <f>IF(K400="Overdue",TODAY()-F400,"")</f>
        <v/>
      </c>
      <c r="M400" s="28" t="n"/>
    </row>
    <row r="401">
      <c r="A401" s="28" t="n"/>
      <c r="B401" s="28" t="n"/>
      <c r="C401" s="28" t="n"/>
      <c r="D401" s="27" t="n"/>
      <c r="E401" s="34" t="n"/>
      <c r="F401" s="35">
        <f>IF(D401="","",D401+IF(E401="",Setup!$B$10,E401))</f>
        <v/>
      </c>
      <c r="G401" s="29" t="n"/>
      <c r="H401" s="29" t="n"/>
      <c r="I401" s="26">
        <f>IF(G401="","",G401-N(H401))</f>
        <v/>
      </c>
      <c r="J401" s="27" t="n"/>
      <c r="K401" s="24">
        <f>IF(G401="","",IF(I401&lt;=0,"Paid",IF(TODAY()&gt;F401,"Overdue","Open")))</f>
        <v/>
      </c>
      <c r="L401" s="33">
        <f>IF(K401="Overdue",TODAY()-F401,"")</f>
        <v/>
      </c>
      <c r="M401" s="28" t="n"/>
    </row>
    <row r="402">
      <c r="A402" s="28" t="n"/>
      <c r="B402" s="28" t="n"/>
      <c r="C402" s="28" t="n"/>
      <c r="D402" s="27" t="n"/>
      <c r="E402" s="34" t="n"/>
      <c r="F402" s="35">
        <f>IF(D402="","",D402+IF(E402="",Setup!$B$10,E402))</f>
        <v/>
      </c>
      <c r="G402" s="29" t="n"/>
      <c r="H402" s="29" t="n"/>
      <c r="I402" s="26">
        <f>IF(G402="","",G402-N(H402))</f>
        <v/>
      </c>
      <c r="J402" s="27" t="n"/>
      <c r="K402" s="24">
        <f>IF(G402="","",IF(I402&lt;=0,"Paid",IF(TODAY()&gt;F402,"Overdue","Open")))</f>
        <v/>
      </c>
      <c r="L402" s="33">
        <f>IF(K402="Overdue",TODAY()-F402,"")</f>
        <v/>
      </c>
      <c r="M402" s="28" t="n"/>
    </row>
    <row r="403">
      <c r="A403" s="28" t="n"/>
      <c r="B403" s="28" t="n"/>
      <c r="C403" s="28" t="n"/>
      <c r="D403" s="27" t="n"/>
      <c r="E403" s="34" t="n"/>
      <c r="F403" s="35">
        <f>IF(D403="","",D403+IF(E403="",Setup!$B$10,E403))</f>
        <v/>
      </c>
      <c r="G403" s="29" t="n"/>
      <c r="H403" s="29" t="n"/>
      <c r="I403" s="26">
        <f>IF(G403="","",G403-N(H403))</f>
        <v/>
      </c>
      <c r="J403" s="27" t="n"/>
      <c r="K403" s="24">
        <f>IF(G403="","",IF(I403&lt;=0,"Paid",IF(TODAY()&gt;F403,"Overdue","Open")))</f>
        <v/>
      </c>
      <c r="L403" s="33">
        <f>IF(K403="Overdue",TODAY()-F403,"")</f>
        <v/>
      </c>
      <c r="M403" s="28" t="n"/>
    </row>
    <row r="404">
      <c r="A404" s="28" t="n"/>
      <c r="B404" s="28" t="n"/>
      <c r="C404" s="28" t="n"/>
      <c r="D404" s="27" t="n"/>
      <c r="E404" s="34" t="n"/>
      <c r="F404" s="35">
        <f>IF(D404="","",D404+IF(E404="",Setup!$B$10,E404))</f>
        <v/>
      </c>
      <c r="G404" s="29" t="n"/>
      <c r="H404" s="29" t="n"/>
      <c r="I404" s="26">
        <f>IF(G404="","",G404-N(H404))</f>
        <v/>
      </c>
      <c r="J404" s="27" t="n"/>
      <c r="K404" s="24">
        <f>IF(G404="","",IF(I404&lt;=0,"Paid",IF(TODAY()&gt;F404,"Overdue","Open")))</f>
        <v/>
      </c>
      <c r="L404" s="33">
        <f>IF(K404="Overdue",TODAY()-F404,"")</f>
        <v/>
      </c>
      <c r="M404" s="28" t="n"/>
    </row>
  </sheetData>
  <autoFilter ref="A4:M404"/>
  <conditionalFormatting sqref="K5:K404">
    <cfRule type="cellIs" priority="1" operator="equal" dxfId="1">
      <formula>"Overdue"</formula>
    </cfRule>
    <cfRule type="cellIs" priority="2" operator="equal" dxfId="2">
      <formula>"Paid"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I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24" customWidth="1" min="4" max="4"/>
    <col width="13" customWidth="1" min="5" max="5"/>
    <col width="16" customWidth="1" min="6" max="6"/>
    <col width="12" customWidth="1" min="7" max="7"/>
    <col width="16" customWidth="1" min="8" max="8"/>
    <col width="34" customWidth="1" min="9" max="9"/>
  </cols>
  <sheetData>
    <row r="1">
      <c r="A1" s="11" t="inlineStr">
        <is>
          <t>Clients: who pays us, and how much?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Type each client once, spelled exactly as on Transactions and Invoices. Revenue and balances fill in automatically.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3" t="inlineStr">
        <is>
          <t>Red share = this client is more than 30% of revenue (concentration risk).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 ht="30" customHeight="1">
      <c r="A4" s="18" t="inlineStr">
        <is>
          <t>Client name</t>
        </is>
      </c>
      <c r="B4" s="18" t="inlineStr">
        <is>
          <t>Contact person</t>
        </is>
      </c>
      <c r="C4" s="18" t="inlineStr">
        <is>
          <t>Phone / email</t>
        </is>
      </c>
      <c r="D4" s="18" t="inlineStr">
        <is>
          <t>Main service</t>
        </is>
      </c>
      <c r="E4" s="18" t="inlineStr">
        <is>
          <t>Client since</t>
        </is>
      </c>
      <c r="F4" s="18" t="inlineStr">
        <is>
          <t>Revenue this FY (auto)</t>
        </is>
      </c>
      <c r="G4" s="18" t="inlineStr">
        <is>
          <t>Share of revenue (auto)</t>
        </is>
      </c>
      <c r="H4" s="18" t="inlineStr">
        <is>
          <t>Owed to us (auto)</t>
        </is>
      </c>
      <c r="I4" s="18" t="inlineStr">
        <is>
          <t>Notes</t>
        </is>
      </c>
    </row>
    <row r="5">
      <c r="A5" s="22" t="inlineStr">
        <is>
          <t>ABC Holdings (Pvt) Ltd</t>
        </is>
      </c>
      <c r="B5" s="22" t="inlineStr">
        <is>
          <t>Mr. Perera</t>
        </is>
      </c>
      <c r="C5" s="22" t="inlineStr">
        <is>
          <t>perera@example.lk</t>
        </is>
      </c>
      <c r="D5" s="22" t="inlineStr">
        <is>
          <t>Website project</t>
        </is>
      </c>
      <c r="E5" s="21" t="n">
        <v>46113</v>
      </c>
      <c r="F5" s="26">
        <f>IF(A5="","",SUMIFS(Transactions!$E$5:$E$1504,Transactions!$C$5:$C$1504,A5,Transactions!$K$5:$K$1504,"Income")-SUMIFS(Transactions!$F$5:$F$1504,Transactions!$C$5:$C$1504,A5,Transactions!$K$5:$K$1504,"Income"))</f>
        <v/>
      </c>
      <c r="G5" s="36">
        <f>IF(A5="","",IF('Monthly P&amp;L'!$N$11=0,0,F5/'Monthly P&amp;L'!$N$11))</f>
        <v/>
      </c>
      <c r="H5" s="26">
        <f>IF(A5="","",SUMIFS(Invoices!$I$5:$I$404,Invoices!$B$5:$B$404,A5))</f>
        <v/>
      </c>
      <c r="I5" s="22" t="inlineStr">
        <is>
          <t>Example row: replace or delete</t>
        </is>
      </c>
    </row>
    <row r="6">
      <c r="A6" s="28" t="n"/>
      <c r="B6" s="28" t="n"/>
      <c r="C6" s="28" t="n"/>
      <c r="D6" s="28" t="n"/>
      <c r="E6" s="27" t="n"/>
      <c r="F6" s="26">
        <f>IF(A6="","",SUMIFS(Transactions!$E$5:$E$1504,Transactions!$C$5:$C$1504,A6,Transactions!$K$5:$K$1504,"Income")-SUMIFS(Transactions!$F$5:$F$1504,Transactions!$C$5:$C$1504,A6,Transactions!$K$5:$K$1504,"Income"))</f>
        <v/>
      </c>
      <c r="G6" s="36">
        <f>IF(A6="","",IF('Monthly P&amp;L'!$N$11=0,0,F6/'Monthly P&amp;L'!$N$11))</f>
        <v/>
      </c>
      <c r="H6" s="26">
        <f>IF(A6="","",SUMIFS(Invoices!$I$5:$I$404,Invoices!$B$5:$B$404,A6))</f>
        <v/>
      </c>
      <c r="I6" s="28" t="n"/>
    </row>
    <row r="7">
      <c r="A7" s="28" t="n"/>
      <c r="B7" s="28" t="n"/>
      <c r="C7" s="28" t="n"/>
      <c r="D7" s="28" t="n"/>
      <c r="E7" s="27" t="n"/>
      <c r="F7" s="26">
        <f>IF(A7="","",SUMIFS(Transactions!$E$5:$E$1504,Transactions!$C$5:$C$1504,A7,Transactions!$K$5:$K$1504,"Income")-SUMIFS(Transactions!$F$5:$F$1504,Transactions!$C$5:$C$1504,A7,Transactions!$K$5:$K$1504,"Income"))</f>
        <v/>
      </c>
      <c r="G7" s="36">
        <f>IF(A7="","",IF('Monthly P&amp;L'!$N$11=0,0,F7/'Monthly P&amp;L'!$N$11))</f>
        <v/>
      </c>
      <c r="H7" s="26">
        <f>IF(A7="","",SUMIFS(Invoices!$I$5:$I$404,Invoices!$B$5:$B$404,A7))</f>
        <v/>
      </c>
      <c r="I7" s="28" t="n"/>
    </row>
    <row r="8">
      <c r="A8" s="28" t="n"/>
      <c r="B8" s="28" t="n"/>
      <c r="C8" s="28" t="n"/>
      <c r="D8" s="28" t="n"/>
      <c r="E8" s="27" t="n"/>
      <c r="F8" s="26">
        <f>IF(A8="","",SUMIFS(Transactions!$E$5:$E$1504,Transactions!$C$5:$C$1504,A8,Transactions!$K$5:$K$1504,"Income")-SUMIFS(Transactions!$F$5:$F$1504,Transactions!$C$5:$C$1504,A8,Transactions!$K$5:$K$1504,"Income"))</f>
        <v/>
      </c>
      <c r="G8" s="36">
        <f>IF(A8="","",IF('Monthly P&amp;L'!$N$11=0,0,F8/'Monthly P&amp;L'!$N$11))</f>
        <v/>
      </c>
      <c r="H8" s="26">
        <f>IF(A8="","",SUMIFS(Invoices!$I$5:$I$404,Invoices!$B$5:$B$404,A8))</f>
        <v/>
      </c>
      <c r="I8" s="28" t="n"/>
    </row>
    <row r="9">
      <c r="A9" s="28" t="n"/>
      <c r="B9" s="28" t="n"/>
      <c r="C9" s="28" t="n"/>
      <c r="D9" s="28" t="n"/>
      <c r="E9" s="27" t="n"/>
      <c r="F9" s="26">
        <f>IF(A9="","",SUMIFS(Transactions!$E$5:$E$1504,Transactions!$C$5:$C$1504,A9,Transactions!$K$5:$K$1504,"Income")-SUMIFS(Transactions!$F$5:$F$1504,Transactions!$C$5:$C$1504,A9,Transactions!$K$5:$K$1504,"Income"))</f>
        <v/>
      </c>
      <c r="G9" s="36">
        <f>IF(A9="","",IF('Monthly P&amp;L'!$N$11=0,0,F9/'Monthly P&amp;L'!$N$11))</f>
        <v/>
      </c>
      <c r="H9" s="26">
        <f>IF(A9="","",SUMIFS(Invoices!$I$5:$I$404,Invoices!$B$5:$B$404,A9))</f>
        <v/>
      </c>
      <c r="I9" s="28" t="n"/>
    </row>
    <row r="10">
      <c r="A10" s="28" t="n"/>
      <c r="B10" s="28" t="n"/>
      <c r="C10" s="28" t="n"/>
      <c r="D10" s="28" t="n"/>
      <c r="E10" s="27" t="n"/>
      <c r="F10" s="26">
        <f>IF(A10="","",SUMIFS(Transactions!$E$5:$E$1504,Transactions!$C$5:$C$1504,A10,Transactions!$K$5:$K$1504,"Income")-SUMIFS(Transactions!$F$5:$F$1504,Transactions!$C$5:$C$1504,A10,Transactions!$K$5:$K$1504,"Income"))</f>
        <v/>
      </c>
      <c r="G10" s="36">
        <f>IF(A10="","",IF('Monthly P&amp;L'!$N$11=0,0,F10/'Monthly P&amp;L'!$N$11))</f>
        <v/>
      </c>
      <c r="H10" s="26">
        <f>IF(A10="","",SUMIFS(Invoices!$I$5:$I$404,Invoices!$B$5:$B$404,A10))</f>
        <v/>
      </c>
      <c r="I10" s="28" t="n"/>
    </row>
    <row r="11">
      <c r="A11" s="28" t="n"/>
      <c r="B11" s="28" t="n"/>
      <c r="C11" s="28" t="n"/>
      <c r="D11" s="28" t="n"/>
      <c r="E11" s="27" t="n"/>
      <c r="F11" s="26">
        <f>IF(A11="","",SUMIFS(Transactions!$E$5:$E$1504,Transactions!$C$5:$C$1504,A11,Transactions!$K$5:$K$1504,"Income")-SUMIFS(Transactions!$F$5:$F$1504,Transactions!$C$5:$C$1504,A11,Transactions!$K$5:$K$1504,"Income"))</f>
        <v/>
      </c>
      <c r="G11" s="36">
        <f>IF(A11="","",IF('Monthly P&amp;L'!$N$11=0,0,F11/'Monthly P&amp;L'!$N$11))</f>
        <v/>
      </c>
      <c r="H11" s="26">
        <f>IF(A11="","",SUMIFS(Invoices!$I$5:$I$404,Invoices!$B$5:$B$404,A11))</f>
        <v/>
      </c>
      <c r="I11" s="28" t="n"/>
    </row>
    <row r="12">
      <c r="A12" s="28" t="n"/>
      <c r="B12" s="28" t="n"/>
      <c r="C12" s="28" t="n"/>
      <c r="D12" s="28" t="n"/>
      <c r="E12" s="27" t="n"/>
      <c r="F12" s="26">
        <f>IF(A12="","",SUMIFS(Transactions!$E$5:$E$1504,Transactions!$C$5:$C$1504,A12,Transactions!$K$5:$K$1504,"Income")-SUMIFS(Transactions!$F$5:$F$1504,Transactions!$C$5:$C$1504,A12,Transactions!$K$5:$K$1504,"Income"))</f>
        <v/>
      </c>
      <c r="G12" s="36">
        <f>IF(A12="","",IF('Monthly P&amp;L'!$N$11=0,0,F12/'Monthly P&amp;L'!$N$11))</f>
        <v/>
      </c>
      <c r="H12" s="26">
        <f>IF(A12="","",SUMIFS(Invoices!$I$5:$I$404,Invoices!$B$5:$B$404,A12))</f>
        <v/>
      </c>
      <c r="I12" s="28" t="n"/>
    </row>
    <row r="13">
      <c r="A13" s="28" t="n"/>
      <c r="B13" s="28" t="n"/>
      <c r="C13" s="28" t="n"/>
      <c r="D13" s="28" t="n"/>
      <c r="E13" s="27" t="n"/>
      <c r="F13" s="26">
        <f>IF(A13="","",SUMIFS(Transactions!$E$5:$E$1504,Transactions!$C$5:$C$1504,A13,Transactions!$K$5:$K$1504,"Income")-SUMIFS(Transactions!$F$5:$F$1504,Transactions!$C$5:$C$1504,A13,Transactions!$K$5:$K$1504,"Income"))</f>
        <v/>
      </c>
      <c r="G13" s="36">
        <f>IF(A13="","",IF('Monthly P&amp;L'!$N$11=0,0,F13/'Monthly P&amp;L'!$N$11))</f>
        <v/>
      </c>
      <c r="H13" s="26">
        <f>IF(A13="","",SUMIFS(Invoices!$I$5:$I$404,Invoices!$B$5:$B$404,A13))</f>
        <v/>
      </c>
      <c r="I13" s="28" t="n"/>
    </row>
    <row r="14">
      <c r="A14" s="28" t="n"/>
      <c r="B14" s="28" t="n"/>
      <c r="C14" s="28" t="n"/>
      <c r="D14" s="28" t="n"/>
      <c r="E14" s="27" t="n"/>
      <c r="F14" s="26">
        <f>IF(A14="","",SUMIFS(Transactions!$E$5:$E$1504,Transactions!$C$5:$C$1504,A14,Transactions!$K$5:$K$1504,"Income")-SUMIFS(Transactions!$F$5:$F$1504,Transactions!$C$5:$C$1504,A14,Transactions!$K$5:$K$1504,"Income"))</f>
        <v/>
      </c>
      <c r="G14" s="36">
        <f>IF(A14="","",IF('Monthly P&amp;L'!$N$11=0,0,F14/'Monthly P&amp;L'!$N$11))</f>
        <v/>
      </c>
      <c r="H14" s="26">
        <f>IF(A14="","",SUMIFS(Invoices!$I$5:$I$404,Invoices!$B$5:$B$404,A14))</f>
        <v/>
      </c>
      <c r="I14" s="28" t="n"/>
    </row>
    <row r="15">
      <c r="A15" s="28" t="n"/>
      <c r="B15" s="28" t="n"/>
      <c r="C15" s="28" t="n"/>
      <c r="D15" s="28" t="n"/>
      <c r="E15" s="27" t="n"/>
      <c r="F15" s="26">
        <f>IF(A15="","",SUMIFS(Transactions!$E$5:$E$1504,Transactions!$C$5:$C$1504,A15,Transactions!$K$5:$K$1504,"Income")-SUMIFS(Transactions!$F$5:$F$1504,Transactions!$C$5:$C$1504,A15,Transactions!$K$5:$K$1504,"Income"))</f>
        <v/>
      </c>
      <c r="G15" s="36">
        <f>IF(A15="","",IF('Monthly P&amp;L'!$N$11=0,0,F15/'Monthly P&amp;L'!$N$11))</f>
        <v/>
      </c>
      <c r="H15" s="26">
        <f>IF(A15="","",SUMIFS(Invoices!$I$5:$I$404,Invoices!$B$5:$B$404,A15))</f>
        <v/>
      </c>
      <c r="I15" s="28" t="n"/>
    </row>
    <row r="16">
      <c r="A16" s="28" t="n"/>
      <c r="B16" s="28" t="n"/>
      <c r="C16" s="28" t="n"/>
      <c r="D16" s="28" t="n"/>
      <c r="E16" s="27" t="n"/>
      <c r="F16" s="26">
        <f>IF(A16="","",SUMIFS(Transactions!$E$5:$E$1504,Transactions!$C$5:$C$1504,A16,Transactions!$K$5:$K$1504,"Income")-SUMIFS(Transactions!$F$5:$F$1504,Transactions!$C$5:$C$1504,A16,Transactions!$K$5:$K$1504,"Income"))</f>
        <v/>
      </c>
      <c r="G16" s="36">
        <f>IF(A16="","",IF('Monthly P&amp;L'!$N$11=0,0,F16/'Monthly P&amp;L'!$N$11))</f>
        <v/>
      </c>
      <c r="H16" s="26">
        <f>IF(A16="","",SUMIFS(Invoices!$I$5:$I$404,Invoices!$B$5:$B$404,A16))</f>
        <v/>
      </c>
      <c r="I16" s="28" t="n"/>
    </row>
    <row r="17">
      <c r="A17" s="28" t="n"/>
      <c r="B17" s="28" t="n"/>
      <c r="C17" s="28" t="n"/>
      <c r="D17" s="28" t="n"/>
      <c r="E17" s="27" t="n"/>
      <c r="F17" s="26">
        <f>IF(A17="","",SUMIFS(Transactions!$E$5:$E$1504,Transactions!$C$5:$C$1504,A17,Transactions!$K$5:$K$1504,"Income")-SUMIFS(Transactions!$F$5:$F$1504,Transactions!$C$5:$C$1504,A17,Transactions!$K$5:$K$1504,"Income"))</f>
        <v/>
      </c>
      <c r="G17" s="36">
        <f>IF(A17="","",IF('Monthly P&amp;L'!$N$11=0,0,F17/'Monthly P&amp;L'!$N$11))</f>
        <v/>
      </c>
      <c r="H17" s="26">
        <f>IF(A17="","",SUMIFS(Invoices!$I$5:$I$404,Invoices!$B$5:$B$404,A17))</f>
        <v/>
      </c>
      <c r="I17" s="28" t="n"/>
    </row>
    <row r="18">
      <c r="A18" s="28" t="n"/>
      <c r="B18" s="28" t="n"/>
      <c r="C18" s="28" t="n"/>
      <c r="D18" s="28" t="n"/>
      <c r="E18" s="27" t="n"/>
      <c r="F18" s="26">
        <f>IF(A18="","",SUMIFS(Transactions!$E$5:$E$1504,Transactions!$C$5:$C$1504,A18,Transactions!$K$5:$K$1504,"Income")-SUMIFS(Transactions!$F$5:$F$1504,Transactions!$C$5:$C$1504,A18,Transactions!$K$5:$K$1504,"Income"))</f>
        <v/>
      </c>
      <c r="G18" s="36">
        <f>IF(A18="","",IF('Monthly P&amp;L'!$N$11=0,0,F18/'Monthly P&amp;L'!$N$11))</f>
        <v/>
      </c>
      <c r="H18" s="26">
        <f>IF(A18="","",SUMIFS(Invoices!$I$5:$I$404,Invoices!$B$5:$B$404,A18))</f>
        <v/>
      </c>
      <c r="I18" s="28" t="n"/>
    </row>
    <row r="19">
      <c r="A19" s="28" t="n"/>
      <c r="B19" s="28" t="n"/>
      <c r="C19" s="28" t="n"/>
      <c r="D19" s="28" t="n"/>
      <c r="E19" s="27" t="n"/>
      <c r="F19" s="26">
        <f>IF(A19="","",SUMIFS(Transactions!$E$5:$E$1504,Transactions!$C$5:$C$1504,A19,Transactions!$K$5:$K$1504,"Income")-SUMIFS(Transactions!$F$5:$F$1504,Transactions!$C$5:$C$1504,A19,Transactions!$K$5:$K$1504,"Income"))</f>
        <v/>
      </c>
      <c r="G19" s="36">
        <f>IF(A19="","",IF('Monthly P&amp;L'!$N$11=0,0,F19/'Monthly P&amp;L'!$N$11))</f>
        <v/>
      </c>
      <c r="H19" s="26">
        <f>IF(A19="","",SUMIFS(Invoices!$I$5:$I$404,Invoices!$B$5:$B$404,A19))</f>
        <v/>
      </c>
      <c r="I19" s="28" t="n"/>
    </row>
    <row r="20">
      <c r="A20" s="28" t="n"/>
      <c r="B20" s="28" t="n"/>
      <c r="C20" s="28" t="n"/>
      <c r="D20" s="28" t="n"/>
      <c r="E20" s="27" t="n"/>
      <c r="F20" s="26">
        <f>IF(A20="","",SUMIFS(Transactions!$E$5:$E$1504,Transactions!$C$5:$C$1504,A20,Transactions!$K$5:$K$1504,"Income")-SUMIFS(Transactions!$F$5:$F$1504,Transactions!$C$5:$C$1504,A20,Transactions!$K$5:$K$1504,"Income"))</f>
        <v/>
      </c>
      <c r="G20" s="36">
        <f>IF(A20="","",IF('Monthly P&amp;L'!$N$11=0,0,F20/'Monthly P&amp;L'!$N$11))</f>
        <v/>
      </c>
      <c r="H20" s="26">
        <f>IF(A20="","",SUMIFS(Invoices!$I$5:$I$404,Invoices!$B$5:$B$404,A20))</f>
        <v/>
      </c>
      <c r="I20" s="28" t="n"/>
    </row>
    <row r="21">
      <c r="A21" s="28" t="n"/>
      <c r="B21" s="28" t="n"/>
      <c r="C21" s="28" t="n"/>
      <c r="D21" s="28" t="n"/>
      <c r="E21" s="27" t="n"/>
      <c r="F21" s="26">
        <f>IF(A21="","",SUMIFS(Transactions!$E$5:$E$1504,Transactions!$C$5:$C$1504,A21,Transactions!$K$5:$K$1504,"Income")-SUMIFS(Transactions!$F$5:$F$1504,Transactions!$C$5:$C$1504,A21,Transactions!$K$5:$K$1504,"Income"))</f>
        <v/>
      </c>
      <c r="G21" s="36">
        <f>IF(A21="","",IF('Monthly P&amp;L'!$N$11=0,0,F21/'Monthly P&amp;L'!$N$11))</f>
        <v/>
      </c>
      <c r="H21" s="26">
        <f>IF(A21="","",SUMIFS(Invoices!$I$5:$I$404,Invoices!$B$5:$B$404,A21))</f>
        <v/>
      </c>
      <c r="I21" s="28" t="n"/>
    </row>
    <row r="22">
      <c r="A22" s="28" t="n"/>
      <c r="B22" s="28" t="n"/>
      <c r="C22" s="28" t="n"/>
      <c r="D22" s="28" t="n"/>
      <c r="E22" s="27" t="n"/>
      <c r="F22" s="26">
        <f>IF(A22="","",SUMIFS(Transactions!$E$5:$E$1504,Transactions!$C$5:$C$1504,A22,Transactions!$K$5:$K$1504,"Income")-SUMIFS(Transactions!$F$5:$F$1504,Transactions!$C$5:$C$1504,A22,Transactions!$K$5:$K$1504,"Income"))</f>
        <v/>
      </c>
      <c r="G22" s="36">
        <f>IF(A22="","",IF('Monthly P&amp;L'!$N$11=0,0,F22/'Monthly P&amp;L'!$N$11))</f>
        <v/>
      </c>
      <c r="H22" s="26">
        <f>IF(A22="","",SUMIFS(Invoices!$I$5:$I$404,Invoices!$B$5:$B$404,A22))</f>
        <v/>
      </c>
      <c r="I22" s="28" t="n"/>
    </row>
    <row r="23">
      <c r="A23" s="28" t="n"/>
      <c r="B23" s="28" t="n"/>
      <c r="C23" s="28" t="n"/>
      <c r="D23" s="28" t="n"/>
      <c r="E23" s="27" t="n"/>
      <c r="F23" s="26">
        <f>IF(A23="","",SUMIFS(Transactions!$E$5:$E$1504,Transactions!$C$5:$C$1504,A23,Transactions!$K$5:$K$1504,"Income")-SUMIFS(Transactions!$F$5:$F$1504,Transactions!$C$5:$C$1504,A23,Transactions!$K$5:$K$1504,"Income"))</f>
        <v/>
      </c>
      <c r="G23" s="36">
        <f>IF(A23="","",IF('Monthly P&amp;L'!$N$11=0,0,F23/'Monthly P&amp;L'!$N$11))</f>
        <v/>
      </c>
      <c r="H23" s="26">
        <f>IF(A23="","",SUMIFS(Invoices!$I$5:$I$404,Invoices!$B$5:$B$404,A23))</f>
        <v/>
      </c>
      <c r="I23" s="28" t="n"/>
    </row>
    <row r="24">
      <c r="A24" s="28" t="n"/>
      <c r="B24" s="28" t="n"/>
      <c r="C24" s="28" t="n"/>
      <c r="D24" s="28" t="n"/>
      <c r="E24" s="27" t="n"/>
      <c r="F24" s="26">
        <f>IF(A24="","",SUMIFS(Transactions!$E$5:$E$1504,Transactions!$C$5:$C$1504,A24,Transactions!$K$5:$K$1504,"Income")-SUMIFS(Transactions!$F$5:$F$1504,Transactions!$C$5:$C$1504,A24,Transactions!$K$5:$K$1504,"Income"))</f>
        <v/>
      </c>
      <c r="G24" s="36">
        <f>IF(A24="","",IF('Monthly P&amp;L'!$N$11=0,0,F24/'Monthly P&amp;L'!$N$11))</f>
        <v/>
      </c>
      <c r="H24" s="26">
        <f>IF(A24="","",SUMIFS(Invoices!$I$5:$I$404,Invoices!$B$5:$B$404,A24))</f>
        <v/>
      </c>
      <c r="I24" s="28" t="n"/>
    </row>
    <row r="25">
      <c r="A25" s="28" t="n"/>
      <c r="B25" s="28" t="n"/>
      <c r="C25" s="28" t="n"/>
      <c r="D25" s="28" t="n"/>
      <c r="E25" s="27" t="n"/>
      <c r="F25" s="26">
        <f>IF(A25="","",SUMIFS(Transactions!$E$5:$E$1504,Transactions!$C$5:$C$1504,A25,Transactions!$K$5:$K$1504,"Income")-SUMIFS(Transactions!$F$5:$F$1504,Transactions!$C$5:$C$1504,A25,Transactions!$K$5:$K$1504,"Income"))</f>
        <v/>
      </c>
      <c r="G25" s="36">
        <f>IF(A25="","",IF('Monthly P&amp;L'!$N$11=0,0,F25/'Monthly P&amp;L'!$N$11))</f>
        <v/>
      </c>
      <c r="H25" s="26">
        <f>IF(A25="","",SUMIFS(Invoices!$I$5:$I$404,Invoices!$B$5:$B$404,A25))</f>
        <v/>
      </c>
      <c r="I25" s="28" t="n"/>
    </row>
    <row r="26">
      <c r="A26" s="28" t="n"/>
      <c r="B26" s="28" t="n"/>
      <c r="C26" s="28" t="n"/>
      <c r="D26" s="28" t="n"/>
      <c r="E26" s="27" t="n"/>
      <c r="F26" s="26">
        <f>IF(A26="","",SUMIFS(Transactions!$E$5:$E$1504,Transactions!$C$5:$C$1504,A26,Transactions!$K$5:$K$1504,"Income")-SUMIFS(Transactions!$F$5:$F$1504,Transactions!$C$5:$C$1504,A26,Transactions!$K$5:$K$1504,"Income"))</f>
        <v/>
      </c>
      <c r="G26" s="36">
        <f>IF(A26="","",IF('Monthly P&amp;L'!$N$11=0,0,F26/'Monthly P&amp;L'!$N$11))</f>
        <v/>
      </c>
      <c r="H26" s="26">
        <f>IF(A26="","",SUMIFS(Invoices!$I$5:$I$404,Invoices!$B$5:$B$404,A26))</f>
        <v/>
      </c>
      <c r="I26" s="28" t="n"/>
    </row>
    <row r="27">
      <c r="A27" s="28" t="n"/>
      <c r="B27" s="28" t="n"/>
      <c r="C27" s="28" t="n"/>
      <c r="D27" s="28" t="n"/>
      <c r="E27" s="27" t="n"/>
      <c r="F27" s="26">
        <f>IF(A27="","",SUMIFS(Transactions!$E$5:$E$1504,Transactions!$C$5:$C$1504,A27,Transactions!$K$5:$K$1504,"Income")-SUMIFS(Transactions!$F$5:$F$1504,Transactions!$C$5:$C$1504,A27,Transactions!$K$5:$K$1504,"Income"))</f>
        <v/>
      </c>
      <c r="G27" s="36">
        <f>IF(A27="","",IF('Monthly P&amp;L'!$N$11=0,0,F27/'Monthly P&amp;L'!$N$11))</f>
        <v/>
      </c>
      <c r="H27" s="26">
        <f>IF(A27="","",SUMIFS(Invoices!$I$5:$I$404,Invoices!$B$5:$B$404,A27))</f>
        <v/>
      </c>
      <c r="I27" s="28" t="n"/>
    </row>
    <row r="28">
      <c r="A28" s="28" t="n"/>
      <c r="B28" s="28" t="n"/>
      <c r="C28" s="28" t="n"/>
      <c r="D28" s="28" t="n"/>
      <c r="E28" s="27" t="n"/>
      <c r="F28" s="26">
        <f>IF(A28="","",SUMIFS(Transactions!$E$5:$E$1504,Transactions!$C$5:$C$1504,A28,Transactions!$K$5:$K$1504,"Income")-SUMIFS(Transactions!$F$5:$F$1504,Transactions!$C$5:$C$1504,A28,Transactions!$K$5:$K$1504,"Income"))</f>
        <v/>
      </c>
      <c r="G28" s="36">
        <f>IF(A28="","",IF('Monthly P&amp;L'!$N$11=0,0,F28/'Monthly P&amp;L'!$N$11))</f>
        <v/>
      </c>
      <c r="H28" s="26">
        <f>IF(A28="","",SUMIFS(Invoices!$I$5:$I$404,Invoices!$B$5:$B$404,A28))</f>
        <v/>
      </c>
      <c r="I28" s="28" t="n"/>
    </row>
    <row r="29">
      <c r="A29" s="28" t="n"/>
      <c r="B29" s="28" t="n"/>
      <c r="C29" s="28" t="n"/>
      <c r="D29" s="28" t="n"/>
      <c r="E29" s="27" t="n"/>
      <c r="F29" s="26">
        <f>IF(A29="","",SUMIFS(Transactions!$E$5:$E$1504,Transactions!$C$5:$C$1504,A29,Transactions!$K$5:$K$1504,"Income")-SUMIFS(Transactions!$F$5:$F$1504,Transactions!$C$5:$C$1504,A29,Transactions!$K$5:$K$1504,"Income"))</f>
        <v/>
      </c>
      <c r="G29" s="36">
        <f>IF(A29="","",IF('Monthly P&amp;L'!$N$11=0,0,F29/'Monthly P&amp;L'!$N$11))</f>
        <v/>
      </c>
      <c r="H29" s="26">
        <f>IF(A29="","",SUMIFS(Invoices!$I$5:$I$404,Invoices!$B$5:$B$404,A29))</f>
        <v/>
      </c>
      <c r="I29" s="28" t="n"/>
    </row>
    <row r="30">
      <c r="A30" s="28" t="n"/>
      <c r="B30" s="28" t="n"/>
      <c r="C30" s="28" t="n"/>
      <c r="D30" s="28" t="n"/>
      <c r="E30" s="27" t="n"/>
      <c r="F30" s="26">
        <f>IF(A30="","",SUMIFS(Transactions!$E$5:$E$1504,Transactions!$C$5:$C$1504,A30,Transactions!$K$5:$K$1504,"Income")-SUMIFS(Transactions!$F$5:$F$1504,Transactions!$C$5:$C$1504,A30,Transactions!$K$5:$K$1504,"Income"))</f>
        <v/>
      </c>
      <c r="G30" s="36">
        <f>IF(A30="","",IF('Monthly P&amp;L'!$N$11=0,0,F30/'Monthly P&amp;L'!$N$11))</f>
        <v/>
      </c>
      <c r="H30" s="26">
        <f>IF(A30="","",SUMIFS(Invoices!$I$5:$I$404,Invoices!$B$5:$B$404,A30))</f>
        <v/>
      </c>
      <c r="I30" s="28" t="n"/>
    </row>
    <row r="31">
      <c r="A31" s="28" t="n"/>
      <c r="B31" s="28" t="n"/>
      <c r="C31" s="28" t="n"/>
      <c r="D31" s="28" t="n"/>
      <c r="E31" s="27" t="n"/>
      <c r="F31" s="26">
        <f>IF(A31="","",SUMIFS(Transactions!$E$5:$E$1504,Transactions!$C$5:$C$1504,A31,Transactions!$K$5:$K$1504,"Income")-SUMIFS(Transactions!$F$5:$F$1504,Transactions!$C$5:$C$1504,A31,Transactions!$K$5:$K$1504,"Income"))</f>
        <v/>
      </c>
      <c r="G31" s="36">
        <f>IF(A31="","",IF('Monthly P&amp;L'!$N$11=0,0,F31/'Monthly P&amp;L'!$N$11))</f>
        <v/>
      </c>
      <c r="H31" s="26">
        <f>IF(A31="","",SUMIFS(Invoices!$I$5:$I$404,Invoices!$B$5:$B$404,A31))</f>
        <v/>
      </c>
      <c r="I31" s="28" t="n"/>
    </row>
    <row r="32">
      <c r="A32" s="28" t="n"/>
      <c r="B32" s="28" t="n"/>
      <c r="C32" s="28" t="n"/>
      <c r="D32" s="28" t="n"/>
      <c r="E32" s="27" t="n"/>
      <c r="F32" s="26">
        <f>IF(A32="","",SUMIFS(Transactions!$E$5:$E$1504,Transactions!$C$5:$C$1504,A32,Transactions!$K$5:$K$1504,"Income")-SUMIFS(Transactions!$F$5:$F$1504,Transactions!$C$5:$C$1504,A32,Transactions!$K$5:$K$1504,"Income"))</f>
        <v/>
      </c>
      <c r="G32" s="36">
        <f>IF(A32="","",IF('Monthly P&amp;L'!$N$11=0,0,F32/'Monthly P&amp;L'!$N$11))</f>
        <v/>
      </c>
      <c r="H32" s="26">
        <f>IF(A32="","",SUMIFS(Invoices!$I$5:$I$404,Invoices!$B$5:$B$404,A32))</f>
        <v/>
      </c>
      <c r="I32" s="28" t="n"/>
    </row>
    <row r="33">
      <c r="A33" s="28" t="n"/>
      <c r="B33" s="28" t="n"/>
      <c r="C33" s="28" t="n"/>
      <c r="D33" s="28" t="n"/>
      <c r="E33" s="27" t="n"/>
      <c r="F33" s="26">
        <f>IF(A33="","",SUMIFS(Transactions!$E$5:$E$1504,Transactions!$C$5:$C$1504,A33,Transactions!$K$5:$K$1504,"Income")-SUMIFS(Transactions!$F$5:$F$1504,Transactions!$C$5:$C$1504,A33,Transactions!$K$5:$K$1504,"Income"))</f>
        <v/>
      </c>
      <c r="G33" s="36">
        <f>IF(A33="","",IF('Monthly P&amp;L'!$N$11=0,0,F33/'Monthly P&amp;L'!$N$11))</f>
        <v/>
      </c>
      <c r="H33" s="26">
        <f>IF(A33="","",SUMIFS(Invoices!$I$5:$I$404,Invoices!$B$5:$B$404,A33))</f>
        <v/>
      </c>
      <c r="I33" s="28" t="n"/>
    </row>
    <row r="34">
      <c r="A34" s="28" t="n"/>
      <c r="B34" s="28" t="n"/>
      <c r="C34" s="28" t="n"/>
      <c r="D34" s="28" t="n"/>
      <c r="E34" s="27" t="n"/>
      <c r="F34" s="26">
        <f>IF(A34="","",SUMIFS(Transactions!$E$5:$E$1504,Transactions!$C$5:$C$1504,A34,Transactions!$K$5:$K$1504,"Income")-SUMIFS(Transactions!$F$5:$F$1504,Transactions!$C$5:$C$1504,A34,Transactions!$K$5:$K$1504,"Income"))</f>
        <v/>
      </c>
      <c r="G34" s="36">
        <f>IF(A34="","",IF('Monthly P&amp;L'!$N$11=0,0,F34/'Monthly P&amp;L'!$N$11))</f>
        <v/>
      </c>
      <c r="H34" s="26">
        <f>IF(A34="","",SUMIFS(Invoices!$I$5:$I$404,Invoices!$B$5:$B$404,A34))</f>
        <v/>
      </c>
      <c r="I34" s="28" t="n"/>
    </row>
    <row r="35">
      <c r="A35" s="28" t="n"/>
      <c r="B35" s="28" t="n"/>
      <c r="C35" s="28" t="n"/>
      <c r="D35" s="28" t="n"/>
      <c r="E35" s="27" t="n"/>
      <c r="F35" s="26">
        <f>IF(A35="","",SUMIFS(Transactions!$E$5:$E$1504,Transactions!$C$5:$C$1504,A35,Transactions!$K$5:$K$1504,"Income")-SUMIFS(Transactions!$F$5:$F$1504,Transactions!$C$5:$C$1504,A35,Transactions!$K$5:$K$1504,"Income"))</f>
        <v/>
      </c>
      <c r="G35" s="36">
        <f>IF(A35="","",IF('Monthly P&amp;L'!$N$11=0,0,F35/'Monthly P&amp;L'!$N$11))</f>
        <v/>
      </c>
      <c r="H35" s="26">
        <f>IF(A35="","",SUMIFS(Invoices!$I$5:$I$404,Invoices!$B$5:$B$404,A35))</f>
        <v/>
      </c>
      <c r="I35" s="28" t="n"/>
    </row>
    <row r="36">
      <c r="A36" s="28" t="n"/>
      <c r="B36" s="28" t="n"/>
      <c r="C36" s="28" t="n"/>
      <c r="D36" s="28" t="n"/>
      <c r="E36" s="27" t="n"/>
      <c r="F36" s="26">
        <f>IF(A36="","",SUMIFS(Transactions!$E$5:$E$1504,Transactions!$C$5:$C$1504,A36,Transactions!$K$5:$K$1504,"Income")-SUMIFS(Transactions!$F$5:$F$1504,Transactions!$C$5:$C$1504,A36,Transactions!$K$5:$K$1504,"Income"))</f>
        <v/>
      </c>
      <c r="G36" s="36">
        <f>IF(A36="","",IF('Monthly P&amp;L'!$N$11=0,0,F36/'Monthly P&amp;L'!$N$11))</f>
        <v/>
      </c>
      <c r="H36" s="26">
        <f>IF(A36="","",SUMIFS(Invoices!$I$5:$I$404,Invoices!$B$5:$B$404,A36))</f>
        <v/>
      </c>
      <c r="I36" s="28" t="n"/>
    </row>
    <row r="37">
      <c r="A37" s="28" t="n"/>
      <c r="B37" s="28" t="n"/>
      <c r="C37" s="28" t="n"/>
      <c r="D37" s="28" t="n"/>
      <c r="E37" s="27" t="n"/>
      <c r="F37" s="26">
        <f>IF(A37="","",SUMIFS(Transactions!$E$5:$E$1504,Transactions!$C$5:$C$1504,A37,Transactions!$K$5:$K$1504,"Income")-SUMIFS(Transactions!$F$5:$F$1504,Transactions!$C$5:$C$1504,A37,Transactions!$K$5:$K$1504,"Income"))</f>
        <v/>
      </c>
      <c r="G37" s="36">
        <f>IF(A37="","",IF('Monthly P&amp;L'!$N$11=0,0,F37/'Monthly P&amp;L'!$N$11))</f>
        <v/>
      </c>
      <c r="H37" s="26">
        <f>IF(A37="","",SUMIFS(Invoices!$I$5:$I$404,Invoices!$B$5:$B$404,A37))</f>
        <v/>
      </c>
      <c r="I37" s="28" t="n"/>
    </row>
    <row r="38">
      <c r="A38" s="28" t="n"/>
      <c r="B38" s="28" t="n"/>
      <c r="C38" s="28" t="n"/>
      <c r="D38" s="28" t="n"/>
      <c r="E38" s="27" t="n"/>
      <c r="F38" s="26">
        <f>IF(A38="","",SUMIFS(Transactions!$E$5:$E$1504,Transactions!$C$5:$C$1504,A38,Transactions!$K$5:$K$1504,"Income")-SUMIFS(Transactions!$F$5:$F$1504,Transactions!$C$5:$C$1504,A38,Transactions!$K$5:$K$1504,"Income"))</f>
        <v/>
      </c>
      <c r="G38" s="36">
        <f>IF(A38="","",IF('Monthly P&amp;L'!$N$11=0,0,F38/'Monthly P&amp;L'!$N$11))</f>
        <v/>
      </c>
      <c r="H38" s="26">
        <f>IF(A38="","",SUMIFS(Invoices!$I$5:$I$404,Invoices!$B$5:$B$404,A38))</f>
        <v/>
      </c>
      <c r="I38" s="28" t="n"/>
    </row>
    <row r="39">
      <c r="A39" s="28" t="n"/>
      <c r="B39" s="28" t="n"/>
      <c r="C39" s="28" t="n"/>
      <c r="D39" s="28" t="n"/>
      <c r="E39" s="27" t="n"/>
      <c r="F39" s="26">
        <f>IF(A39="","",SUMIFS(Transactions!$E$5:$E$1504,Transactions!$C$5:$C$1504,A39,Transactions!$K$5:$K$1504,"Income")-SUMIFS(Transactions!$F$5:$F$1504,Transactions!$C$5:$C$1504,A39,Transactions!$K$5:$K$1504,"Income"))</f>
        <v/>
      </c>
      <c r="G39" s="36">
        <f>IF(A39="","",IF('Monthly P&amp;L'!$N$11=0,0,F39/'Monthly P&amp;L'!$N$11))</f>
        <v/>
      </c>
      <c r="H39" s="26">
        <f>IF(A39="","",SUMIFS(Invoices!$I$5:$I$404,Invoices!$B$5:$B$404,A39))</f>
        <v/>
      </c>
      <c r="I39" s="28" t="n"/>
    </row>
    <row r="40">
      <c r="A40" s="28" t="n"/>
      <c r="B40" s="28" t="n"/>
      <c r="C40" s="28" t="n"/>
      <c r="D40" s="28" t="n"/>
      <c r="E40" s="27" t="n"/>
      <c r="F40" s="26">
        <f>IF(A40="","",SUMIFS(Transactions!$E$5:$E$1504,Transactions!$C$5:$C$1504,A40,Transactions!$K$5:$K$1504,"Income")-SUMIFS(Transactions!$F$5:$F$1504,Transactions!$C$5:$C$1504,A40,Transactions!$K$5:$K$1504,"Income"))</f>
        <v/>
      </c>
      <c r="G40" s="36">
        <f>IF(A40="","",IF('Monthly P&amp;L'!$N$11=0,0,F40/'Monthly P&amp;L'!$N$11))</f>
        <v/>
      </c>
      <c r="H40" s="26">
        <f>IF(A40="","",SUMIFS(Invoices!$I$5:$I$404,Invoices!$B$5:$B$404,A40))</f>
        <v/>
      </c>
      <c r="I40" s="28" t="n"/>
    </row>
    <row r="41">
      <c r="A41" s="28" t="n"/>
      <c r="B41" s="28" t="n"/>
      <c r="C41" s="28" t="n"/>
      <c r="D41" s="28" t="n"/>
      <c r="E41" s="27" t="n"/>
      <c r="F41" s="26">
        <f>IF(A41="","",SUMIFS(Transactions!$E$5:$E$1504,Transactions!$C$5:$C$1504,A41,Transactions!$K$5:$K$1504,"Income")-SUMIFS(Transactions!$F$5:$F$1504,Transactions!$C$5:$C$1504,A41,Transactions!$K$5:$K$1504,"Income"))</f>
        <v/>
      </c>
      <c r="G41" s="36">
        <f>IF(A41="","",IF('Monthly P&amp;L'!$N$11=0,0,F41/'Monthly P&amp;L'!$N$11))</f>
        <v/>
      </c>
      <c r="H41" s="26">
        <f>IF(A41="","",SUMIFS(Invoices!$I$5:$I$404,Invoices!$B$5:$B$404,A41))</f>
        <v/>
      </c>
      <c r="I41" s="28" t="n"/>
    </row>
    <row r="42">
      <c r="A42" s="28" t="n"/>
      <c r="B42" s="28" t="n"/>
      <c r="C42" s="28" t="n"/>
      <c r="D42" s="28" t="n"/>
      <c r="E42" s="27" t="n"/>
      <c r="F42" s="26">
        <f>IF(A42="","",SUMIFS(Transactions!$E$5:$E$1504,Transactions!$C$5:$C$1504,A42,Transactions!$K$5:$K$1504,"Income")-SUMIFS(Transactions!$F$5:$F$1504,Transactions!$C$5:$C$1504,A42,Transactions!$K$5:$K$1504,"Income"))</f>
        <v/>
      </c>
      <c r="G42" s="36">
        <f>IF(A42="","",IF('Monthly P&amp;L'!$N$11=0,0,F42/'Monthly P&amp;L'!$N$11))</f>
        <v/>
      </c>
      <c r="H42" s="26">
        <f>IF(A42="","",SUMIFS(Invoices!$I$5:$I$404,Invoices!$B$5:$B$404,A42))</f>
        <v/>
      </c>
      <c r="I42" s="28" t="n"/>
    </row>
    <row r="43">
      <c r="A43" s="28" t="n"/>
      <c r="B43" s="28" t="n"/>
      <c r="C43" s="28" t="n"/>
      <c r="D43" s="28" t="n"/>
      <c r="E43" s="27" t="n"/>
      <c r="F43" s="26">
        <f>IF(A43="","",SUMIFS(Transactions!$E$5:$E$1504,Transactions!$C$5:$C$1504,A43,Transactions!$K$5:$K$1504,"Income")-SUMIFS(Transactions!$F$5:$F$1504,Transactions!$C$5:$C$1504,A43,Transactions!$K$5:$K$1504,"Income"))</f>
        <v/>
      </c>
      <c r="G43" s="36">
        <f>IF(A43="","",IF('Monthly P&amp;L'!$N$11=0,0,F43/'Monthly P&amp;L'!$N$11))</f>
        <v/>
      </c>
      <c r="H43" s="26">
        <f>IF(A43="","",SUMIFS(Invoices!$I$5:$I$404,Invoices!$B$5:$B$404,A43))</f>
        <v/>
      </c>
      <c r="I43" s="28" t="n"/>
    </row>
    <row r="44">
      <c r="A44" s="28" t="n"/>
      <c r="B44" s="28" t="n"/>
      <c r="C44" s="28" t="n"/>
      <c r="D44" s="28" t="n"/>
      <c r="E44" s="27" t="n"/>
      <c r="F44" s="26">
        <f>IF(A44="","",SUMIFS(Transactions!$E$5:$E$1504,Transactions!$C$5:$C$1504,A44,Transactions!$K$5:$K$1504,"Income")-SUMIFS(Transactions!$F$5:$F$1504,Transactions!$C$5:$C$1504,A44,Transactions!$K$5:$K$1504,"Income"))</f>
        <v/>
      </c>
      <c r="G44" s="36">
        <f>IF(A44="","",IF('Monthly P&amp;L'!$N$11=0,0,F44/'Monthly P&amp;L'!$N$11))</f>
        <v/>
      </c>
      <c r="H44" s="26">
        <f>IF(A44="","",SUMIFS(Invoices!$I$5:$I$404,Invoices!$B$5:$B$404,A44))</f>
        <v/>
      </c>
      <c r="I44" s="28" t="n"/>
    </row>
    <row r="45">
      <c r="A45" s="28" t="n"/>
      <c r="B45" s="28" t="n"/>
      <c r="C45" s="28" t="n"/>
      <c r="D45" s="28" t="n"/>
      <c r="E45" s="27" t="n"/>
      <c r="F45" s="26">
        <f>IF(A45="","",SUMIFS(Transactions!$E$5:$E$1504,Transactions!$C$5:$C$1504,A45,Transactions!$K$5:$K$1504,"Income")-SUMIFS(Transactions!$F$5:$F$1504,Transactions!$C$5:$C$1504,A45,Transactions!$K$5:$K$1504,"Income"))</f>
        <v/>
      </c>
      <c r="G45" s="36">
        <f>IF(A45="","",IF('Monthly P&amp;L'!$N$11=0,0,F45/'Monthly P&amp;L'!$N$11))</f>
        <v/>
      </c>
      <c r="H45" s="26">
        <f>IF(A45="","",SUMIFS(Invoices!$I$5:$I$404,Invoices!$B$5:$B$404,A45))</f>
        <v/>
      </c>
      <c r="I45" s="28" t="n"/>
    </row>
    <row r="46">
      <c r="A46" s="28" t="n"/>
      <c r="B46" s="28" t="n"/>
      <c r="C46" s="28" t="n"/>
      <c r="D46" s="28" t="n"/>
      <c r="E46" s="27" t="n"/>
      <c r="F46" s="26">
        <f>IF(A46="","",SUMIFS(Transactions!$E$5:$E$1504,Transactions!$C$5:$C$1504,A46,Transactions!$K$5:$K$1504,"Income")-SUMIFS(Transactions!$F$5:$F$1504,Transactions!$C$5:$C$1504,A46,Transactions!$K$5:$K$1504,"Income"))</f>
        <v/>
      </c>
      <c r="G46" s="36">
        <f>IF(A46="","",IF('Monthly P&amp;L'!$N$11=0,0,F46/'Monthly P&amp;L'!$N$11))</f>
        <v/>
      </c>
      <c r="H46" s="26">
        <f>IF(A46="","",SUMIFS(Invoices!$I$5:$I$404,Invoices!$B$5:$B$404,A46))</f>
        <v/>
      </c>
      <c r="I46" s="28" t="n"/>
    </row>
    <row r="47">
      <c r="A47" s="28" t="n"/>
      <c r="B47" s="28" t="n"/>
      <c r="C47" s="28" t="n"/>
      <c r="D47" s="28" t="n"/>
      <c r="E47" s="27" t="n"/>
      <c r="F47" s="26">
        <f>IF(A47="","",SUMIFS(Transactions!$E$5:$E$1504,Transactions!$C$5:$C$1504,A47,Transactions!$K$5:$K$1504,"Income")-SUMIFS(Transactions!$F$5:$F$1504,Transactions!$C$5:$C$1504,A47,Transactions!$K$5:$K$1504,"Income"))</f>
        <v/>
      </c>
      <c r="G47" s="36">
        <f>IF(A47="","",IF('Monthly P&amp;L'!$N$11=0,0,F47/'Monthly P&amp;L'!$N$11))</f>
        <v/>
      </c>
      <c r="H47" s="26">
        <f>IF(A47="","",SUMIFS(Invoices!$I$5:$I$404,Invoices!$B$5:$B$404,A47))</f>
        <v/>
      </c>
      <c r="I47" s="28" t="n"/>
    </row>
    <row r="48">
      <c r="A48" s="28" t="n"/>
      <c r="B48" s="28" t="n"/>
      <c r="C48" s="28" t="n"/>
      <c r="D48" s="28" t="n"/>
      <c r="E48" s="27" t="n"/>
      <c r="F48" s="26">
        <f>IF(A48="","",SUMIFS(Transactions!$E$5:$E$1504,Transactions!$C$5:$C$1504,A48,Transactions!$K$5:$K$1504,"Income")-SUMIFS(Transactions!$F$5:$F$1504,Transactions!$C$5:$C$1504,A48,Transactions!$K$5:$K$1504,"Income"))</f>
        <v/>
      </c>
      <c r="G48" s="36">
        <f>IF(A48="","",IF('Monthly P&amp;L'!$N$11=0,0,F48/'Monthly P&amp;L'!$N$11))</f>
        <v/>
      </c>
      <c r="H48" s="26">
        <f>IF(A48="","",SUMIFS(Invoices!$I$5:$I$404,Invoices!$B$5:$B$404,A48))</f>
        <v/>
      </c>
      <c r="I48" s="28" t="n"/>
    </row>
    <row r="49">
      <c r="A49" s="28" t="n"/>
      <c r="B49" s="28" t="n"/>
      <c r="C49" s="28" t="n"/>
      <c r="D49" s="28" t="n"/>
      <c r="E49" s="27" t="n"/>
      <c r="F49" s="26">
        <f>IF(A49="","",SUMIFS(Transactions!$E$5:$E$1504,Transactions!$C$5:$C$1504,A49,Transactions!$K$5:$K$1504,"Income")-SUMIFS(Transactions!$F$5:$F$1504,Transactions!$C$5:$C$1504,A49,Transactions!$K$5:$K$1504,"Income"))</f>
        <v/>
      </c>
      <c r="G49" s="36">
        <f>IF(A49="","",IF('Monthly P&amp;L'!$N$11=0,0,F49/'Monthly P&amp;L'!$N$11))</f>
        <v/>
      </c>
      <c r="H49" s="26">
        <f>IF(A49="","",SUMIFS(Invoices!$I$5:$I$404,Invoices!$B$5:$B$404,A49))</f>
        <v/>
      </c>
      <c r="I49" s="28" t="n"/>
    </row>
    <row r="50">
      <c r="A50" s="28" t="n"/>
      <c r="B50" s="28" t="n"/>
      <c r="C50" s="28" t="n"/>
      <c r="D50" s="28" t="n"/>
      <c r="E50" s="27" t="n"/>
      <c r="F50" s="26">
        <f>IF(A50="","",SUMIFS(Transactions!$E$5:$E$1504,Transactions!$C$5:$C$1504,A50,Transactions!$K$5:$K$1504,"Income")-SUMIFS(Transactions!$F$5:$F$1504,Transactions!$C$5:$C$1504,A50,Transactions!$K$5:$K$1504,"Income"))</f>
        <v/>
      </c>
      <c r="G50" s="36">
        <f>IF(A50="","",IF('Monthly P&amp;L'!$N$11=0,0,F50/'Monthly P&amp;L'!$N$11))</f>
        <v/>
      </c>
      <c r="H50" s="26">
        <f>IF(A50="","",SUMIFS(Invoices!$I$5:$I$404,Invoices!$B$5:$B$404,A50))</f>
        <v/>
      </c>
      <c r="I50" s="28" t="n"/>
    </row>
    <row r="51">
      <c r="A51" s="28" t="n"/>
      <c r="B51" s="28" t="n"/>
      <c r="C51" s="28" t="n"/>
      <c r="D51" s="28" t="n"/>
      <c r="E51" s="27" t="n"/>
      <c r="F51" s="26">
        <f>IF(A51="","",SUMIFS(Transactions!$E$5:$E$1504,Transactions!$C$5:$C$1504,A51,Transactions!$K$5:$K$1504,"Income")-SUMIFS(Transactions!$F$5:$F$1504,Transactions!$C$5:$C$1504,A51,Transactions!$K$5:$K$1504,"Income"))</f>
        <v/>
      </c>
      <c r="G51" s="36">
        <f>IF(A51="","",IF('Monthly P&amp;L'!$N$11=0,0,F51/'Monthly P&amp;L'!$N$11))</f>
        <v/>
      </c>
      <c r="H51" s="26">
        <f>IF(A51="","",SUMIFS(Invoices!$I$5:$I$404,Invoices!$B$5:$B$404,A51))</f>
        <v/>
      </c>
      <c r="I51" s="28" t="n"/>
    </row>
    <row r="52">
      <c r="A52" s="28" t="n"/>
      <c r="B52" s="28" t="n"/>
      <c r="C52" s="28" t="n"/>
      <c r="D52" s="28" t="n"/>
      <c r="E52" s="27" t="n"/>
      <c r="F52" s="26">
        <f>IF(A52="","",SUMIFS(Transactions!$E$5:$E$1504,Transactions!$C$5:$C$1504,A52,Transactions!$K$5:$K$1504,"Income")-SUMIFS(Transactions!$F$5:$F$1504,Transactions!$C$5:$C$1504,A52,Transactions!$K$5:$K$1504,"Income"))</f>
        <v/>
      </c>
      <c r="G52" s="36">
        <f>IF(A52="","",IF('Monthly P&amp;L'!$N$11=0,0,F52/'Monthly P&amp;L'!$N$11))</f>
        <v/>
      </c>
      <c r="H52" s="26">
        <f>IF(A52="","",SUMIFS(Invoices!$I$5:$I$404,Invoices!$B$5:$B$404,A52))</f>
        <v/>
      </c>
      <c r="I52" s="28" t="n"/>
    </row>
    <row r="53">
      <c r="A53" s="28" t="n"/>
      <c r="B53" s="28" t="n"/>
      <c r="C53" s="28" t="n"/>
      <c r="D53" s="28" t="n"/>
      <c r="E53" s="27" t="n"/>
      <c r="F53" s="26">
        <f>IF(A53="","",SUMIFS(Transactions!$E$5:$E$1504,Transactions!$C$5:$C$1504,A53,Transactions!$K$5:$K$1504,"Income")-SUMIFS(Transactions!$F$5:$F$1504,Transactions!$C$5:$C$1504,A53,Transactions!$K$5:$K$1504,"Income"))</f>
        <v/>
      </c>
      <c r="G53" s="36">
        <f>IF(A53="","",IF('Monthly P&amp;L'!$N$11=0,0,F53/'Monthly P&amp;L'!$N$11))</f>
        <v/>
      </c>
      <c r="H53" s="26">
        <f>IF(A53="","",SUMIFS(Invoices!$I$5:$I$404,Invoices!$B$5:$B$404,A53))</f>
        <v/>
      </c>
      <c r="I53" s="28" t="n"/>
    </row>
    <row r="54">
      <c r="A54" s="28" t="n"/>
      <c r="B54" s="28" t="n"/>
      <c r="C54" s="28" t="n"/>
      <c r="D54" s="28" t="n"/>
      <c r="E54" s="27" t="n"/>
      <c r="F54" s="26">
        <f>IF(A54="","",SUMIFS(Transactions!$E$5:$E$1504,Transactions!$C$5:$C$1504,A54,Transactions!$K$5:$K$1504,"Income")-SUMIFS(Transactions!$F$5:$F$1504,Transactions!$C$5:$C$1504,A54,Transactions!$K$5:$K$1504,"Income"))</f>
        <v/>
      </c>
      <c r="G54" s="36">
        <f>IF(A54="","",IF('Monthly P&amp;L'!$N$11=0,0,F54/'Monthly P&amp;L'!$N$11))</f>
        <v/>
      </c>
      <c r="H54" s="26">
        <f>IF(A54="","",SUMIFS(Invoices!$I$5:$I$404,Invoices!$B$5:$B$404,A54))</f>
        <v/>
      </c>
      <c r="I54" s="28" t="n"/>
    </row>
    <row r="55">
      <c r="A55" s="28" t="n"/>
      <c r="B55" s="28" t="n"/>
      <c r="C55" s="28" t="n"/>
      <c r="D55" s="28" t="n"/>
      <c r="E55" s="27" t="n"/>
      <c r="F55" s="26">
        <f>IF(A55="","",SUMIFS(Transactions!$E$5:$E$1504,Transactions!$C$5:$C$1504,A55,Transactions!$K$5:$K$1504,"Income")-SUMIFS(Transactions!$F$5:$F$1504,Transactions!$C$5:$C$1504,A55,Transactions!$K$5:$K$1504,"Income"))</f>
        <v/>
      </c>
      <c r="G55" s="36">
        <f>IF(A55="","",IF('Monthly P&amp;L'!$N$11=0,0,F55/'Monthly P&amp;L'!$N$11))</f>
        <v/>
      </c>
      <c r="H55" s="26">
        <f>IF(A55="","",SUMIFS(Invoices!$I$5:$I$404,Invoices!$B$5:$B$404,A55))</f>
        <v/>
      </c>
      <c r="I55" s="28" t="n"/>
    </row>
    <row r="56">
      <c r="A56" s="28" t="n"/>
      <c r="B56" s="28" t="n"/>
      <c r="C56" s="28" t="n"/>
      <c r="D56" s="28" t="n"/>
      <c r="E56" s="27" t="n"/>
      <c r="F56" s="26">
        <f>IF(A56="","",SUMIFS(Transactions!$E$5:$E$1504,Transactions!$C$5:$C$1504,A56,Transactions!$K$5:$K$1504,"Income")-SUMIFS(Transactions!$F$5:$F$1504,Transactions!$C$5:$C$1504,A56,Transactions!$K$5:$K$1504,"Income"))</f>
        <v/>
      </c>
      <c r="G56" s="36">
        <f>IF(A56="","",IF('Monthly P&amp;L'!$N$11=0,0,F56/'Monthly P&amp;L'!$N$11))</f>
        <v/>
      </c>
      <c r="H56" s="26">
        <f>IF(A56="","",SUMIFS(Invoices!$I$5:$I$404,Invoices!$B$5:$B$404,A56))</f>
        <v/>
      </c>
      <c r="I56" s="28" t="n"/>
    </row>
    <row r="57">
      <c r="A57" s="28" t="n"/>
      <c r="B57" s="28" t="n"/>
      <c r="C57" s="28" t="n"/>
      <c r="D57" s="28" t="n"/>
      <c r="E57" s="27" t="n"/>
      <c r="F57" s="26">
        <f>IF(A57="","",SUMIFS(Transactions!$E$5:$E$1504,Transactions!$C$5:$C$1504,A57,Transactions!$K$5:$K$1504,"Income")-SUMIFS(Transactions!$F$5:$F$1504,Transactions!$C$5:$C$1504,A57,Transactions!$K$5:$K$1504,"Income"))</f>
        <v/>
      </c>
      <c r="G57" s="36">
        <f>IF(A57="","",IF('Monthly P&amp;L'!$N$11=0,0,F57/'Monthly P&amp;L'!$N$11))</f>
        <v/>
      </c>
      <c r="H57" s="26">
        <f>IF(A57="","",SUMIFS(Invoices!$I$5:$I$404,Invoices!$B$5:$B$404,A57))</f>
        <v/>
      </c>
      <c r="I57" s="28" t="n"/>
    </row>
    <row r="58">
      <c r="A58" s="28" t="n"/>
      <c r="B58" s="28" t="n"/>
      <c r="C58" s="28" t="n"/>
      <c r="D58" s="28" t="n"/>
      <c r="E58" s="27" t="n"/>
      <c r="F58" s="26">
        <f>IF(A58="","",SUMIFS(Transactions!$E$5:$E$1504,Transactions!$C$5:$C$1504,A58,Transactions!$K$5:$K$1504,"Income")-SUMIFS(Transactions!$F$5:$F$1504,Transactions!$C$5:$C$1504,A58,Transactions!$K$5:$K$1504,"Income"))</f>
        <v/>
      </c>
      <c r="G58" s="36">
        <f>IF(A58="","",IF('Monthly P&amp;L'!$N$11=0,0,F58/'Monthly P&amp;L'!$N$11))</f>
        <v/>
      </c>
      <c r="H58" s="26">
        <f>IF(A58="","",SUMIFS(Invoices!$I$5:$I$404,Invoices!$B$5:$B$404,A58))</f>
        <v/>
      </c>
      <c r="I58" s="28" t="n"/>
    </row>
    <row r="59">
      <c r="A59" s="28" t="n"/>
      <c r="B59" s="28" t="n"/>
      <c r="C59" s="28" t="n"/>
      <c r="D59" s="28" t="n"/>
      <c r="E59" s="27" t="n"/>
      <c r="F59" s="26">
        <f>IF(A59="","",SUMIFS(Transactions!$E$5:$E$1504,Transactions!$C$5:$C$1504,A59,Transactions!$K$5:$K$1504,"Income")-SUMIFS(Transactions!$F$5:$F$1504,Transactions!$C$5:$C$1504,A59,Transactions!$K$5:$K$1504,"Income"))</f>
        <v/>
      </c>
      <c r="G59" s="36">
        <f>IF(A59="","",IF('Monthly P&amp;L'!$N$11=0,0,F59/'Monthly P&amp;L'!$N$11))</f>
        <v/>
      </c>
      <c r="H59" s="26">
        <f>IF(A59="","",SUMIFS(Invoices!$I$5:$I$404,Invoices!$B$5:$B$404,A59))</f>
        <v/>
      </c>
      <c r="I59" s="28" t="n"/>
    </row>
    <row r="60">
      <c r="A60" s="28" t="n"/>
      <c r="B60" s="28" t="n"/>
      <c r="C60" s="28" t="n"/>
      <c r="D60" s="28" t="n"/>
      <c r="E60" s="27" t="n"/>
      <c r="F60" s="26">
        <f>IF(A60="","",SUMIFS(Transactions!$E$5:$E$1504,Transactions!$C$5:$C$1504,A60,Transactions!$K$5:$K$1504,"Income")-SUMIFS(Transactions!$F$5:$F$1504,Transactions!$C$5:$C$1504,A60,Transactions!$K$5:$K$1504,"Income"))</f>
        <v/>
      </c>
      <c r="G60" s="36">
        <f>IF(A60="","",IF('Monthly P&amp;L'!$N$11=0,0,F60/'Monthly P&amp;L'!$N$11))</f>
        <v/>
      </c>
      <c r="H60" s="26">
        <f>IF(A60="","",SUMIFS(Invoices!$I$5:$I$404,Invoices!$B$5:$B$404,A60))</f>
        <v/>
      </c>
      <c r="I60" s="28" t="n"/>
    </row>
    <row r="61">
      <c r="A61" s="28" t="n"/>
      <c r="B61" s="28" t="n"/>
      <c r="C61" s="28" t="n"/>
      <c r="D61" s="28" t="n"/>
      <c r="E61" s="27" t="n"/>
      <c r="F61" s="26">
        <f>IF(A61="","",SUMIFS(Transactions!$E$5:$E$1504,Transactions!$C$5:$C$1504,A61,Transactions!$K$5:$K$1504,"Income")-SUMIFS(Transactions!$F$5:$F$1504,Transactions!$C$5:$C$1504,A61,Transactions!$K$5:$K$1504,"Income"))</f>
        <v/>
      </c>
      <c r="G61" s="36">
        <f>IF(A61="","",IF('Monthly P&amp;L'!$N$11=0,0,F61/'Monthly P&amp;L'!$N$11))</f>
        <v/>
      </c>
      <c r="H61" s="26">
        <f>IF(A61="","",SUMIFS(Invoices!$I$5:$I$404,Invoices!$B$5:$B$404,A61))</f>
        <v/>
      </c>
      <c r="I61" s="28" t="n"/>
    </row>
    <row r="62">
      <c r="A62" s="28" t="n"/>
      <c r="B62" s="28" t="n"/>
      <c r="C62" s="28" t="n"/>
      <c r="D62" s="28" t="n"/>
      <c r="E62" s="27" t="n"/>
      <c r="F62" s="26">
        <f>IF(A62="","",SUMIFS(Transactions!$E$5:$E$1504,Transactions!$C$5:$C$1504,A62,Transactions!$K$5:$K$1504,"Income")-SUMIFS(Transactions!$F$5:$F$1504,Transactions!$C$5:$C$1504,A62,Transactions!$K$5:$K$1504,"Income"))</f>
        <v/>
      </c>
      <c r="G62" s="36">
        <f>IF(A62="","",IF('Monthly P&amp;L'!$N$11=0,0,F62/'Monthly P&amp;L'!$N$11))</f>
        <v/>
      </c>
      <c r="H62" s="26">
        <f>IF(A62="","",SUMIFS(Invoices!$I$5:$I$404,Invoices!$B$5:$B$404,A62))</f>
        <v/>
      </c>
      <c r="I62" s="28" t="n"/>
    </row>
    <row r="63">
      <c r="A63" s="28" t="n"/>
      <c r="B63" s="28" t="n"/>
      <c r="C63" s="28" t="n"/>
      <c r="D63" s="28" t="n"/>
      <c r="E63" s="27" t="n"/>
      <c r="F63" s="26">
        <f>IF(A63="","",SUMIFS(Transactions!$E$5:$E$1504,Transactions!$C$5:$C$1504,A63,Transactions!$K$5:$K$1504,"Income")-SUMIFS(Transactions!$F$5:$F$1504,Transactions!$C$5:$C$1504,A63,Transactions!$K$5:$K$1504,"Income"))</f>
        <v/>
      </c>
      <c r="G63" s="36">
        <f>IF(A63="","",IF('Monthly P&amp;L'!$N$11=0,0,F63/'Monthly P&amp;L'!$N$11))</f>
        <v/>
      </c>
      <c r="H63" s="26">
        <f>IF(A63="","",SUMIFS(Invoices!$I$5:$I$404,Invoices!$B$5:$B$404,A63))</f>
        <v/>
      </c>
      <c r="I63" s="28" t="n"/>
    </row>
    <row r="64">
      <c r="A64" s="28" t="n"/>
      <c r="B64" s="28" t="n"/>
      <c r="C64" s="28" t="n"/>
      <c r="D64" s="28" t="n"/>
      <c r="E64" s="27" t="n"/>
      <c r="F64" s="26">
        <f>IF(A64="","",SUMIFS(Transactions!$E$5:$E$1504,Transactions!$C$5:$C$1504,A64,Transactions!$K$5:$K$1504,"Income")-SUMIFS(Transactions!$F$5:$F$1504,Transactions!$C$5:$C$1504,A64,Transactions!$K$5:$K$1504,"Income"))</f>
        <v/>
      </c>
      <c r="G64" s="36">
        <f>IF(A64="","",IF('Monthly P&amp;L'!$N$11=0,0,F64/'Monthly P&amp;L'!$N$11))</f>
        <v/>
      </c>
      <c r="H64" s="26">
        <f>IF(A64="","",SUMIFS(Invoices!$I$5:$I$404,Invoices!$B$5:$B$404,A64))</f>
        <v/>
      </c>
      <c r="I64" s="28" t="n"/>
    </row>
    <row r="65">
      <c r="A65" s="28" t="n"/>
      <c r="B65" s="28" t="n"/>
      <c r="C65" s="28" t="n"/>
      <c r="D65" s="28" t="n"/>
      <c r="E65" s="27" t="n"/>
      <c r="F65" s="26">
        <f>IF(A65="","",SUMIFS(Transactions!$E$5:$E$1504,Transactions!$C$5:$C$1504,A65,Transactions!$K$5:$K$1504,"Income")-SUMIFS(Transactions!$F$5:$F$1504,Transactions!$C$5:$C$1504,A65,Transactions!$K$5:$K$1504,"Income"))</f>
        <v/>
      </c>
      <c r="G65" s="36">
        <f>IF(A65="","",IF('Monthly P&amp;L'!$N$11=0,0,F65/'Monthly P&amp;L'!$N$11))</f>
        <v/>
      </c>
      <c r="H65" s="26">
        <f>IF(A65="","",SUMIFS(Invoices!$I$5:$I$404,Invoices!$B$5:$B$404,A65))</f>
        <v/>
      </c>
      <c r="I65" s="28" t="n"/>
    </row>
    <row r="66">
      <c r="A66" s="28" t="n"/>
      <c r="B66" s="28" t="n"/>
      <c r="C66" s="28" t="n"/>
      <c r="D66" s="28" t="n"/>
      <c r="E66" s="27" t="n"/>
      <c r="F66" s="26">
        <f>IF(A66="","",SUMIFS(Transactions!$E$5:$E$1504,Transactions!$C$5:$C$1504,A66,Transactions!$K$5:$K$1504,"Income")-SUMIFS(Transactions!$F$5:$F$1504,Transactions!$C$5:$C$1504,A66,Transactions!$K$5:$K$1504,"Income"))</f>
        <v/>
      </c>
      <c r="G66" s="36">
        <f>IF(A66="","",IF('Monthly P&amp;L'!$N$11=0,0,F66/'Monthly P&amp;L'!$N$11))</f>
        <v/>
      </c>
      <c r="H66" s="26">
        <f>IF(A66="","",SUMIFS(Invoices!$I$5:$I$404,Invoices!$B$5:$B$404,A66))</f>
        <v/>
      </c>
      <c r="I66" s="28" t="n"/>
    </row>
    <row r="67">
      <c r="A67" s="28" t="n"/>
      <c r="B67" s="28" t="n"/>
      <c r="C67" s="28" t="n"/>
      <c r="D67" s="28" t="n"/>
      <c r="E67" s="27" t="n"/>
      <c r="F67" s="26">
        <f>IF(A67="","",SUMIFS(Transactions!$E$5:$E$1504,Transactions!$C$5:$C$1504,A67,Transactions!$K$5:$K$1504,"Income")-SUMIFS(Transactions!$F$5:$F$1504,Transactions!$C$5:$C$1504,A67,Transactions!$K$5:$K$1504,"Income"))</f>
        <v/>
      </c>
      <c r="G67" s="36">
        <f>IF(A67="","",IF('Monthly P&amp;L'!$N$11=0,0,F67/'Monthly P&amp;L'!$N$11))</f>
        <v/>
      </c>
      <c r="H67" s="26">
        <f>IF(A67="","",SUMIFS(Invoices!$I$5:$I$404,Invoices!$B$5:$B$404,A67))</f>
        <v/>
      </c>
      <c r="I67" s="28" t="n"/>
    </row>
    <row r="68">
      <c r="A68" s="28" t="n"/>
      <c r="B68" s="28" t="n"/>
      <c r="C68" s="28" t="n"/>
      <c r="D68" s="28" t="n"/>
      <c r="E68" s="27" t="n"/>
      <c r="F68" s="26">
        <f>IF(A68="","",SUMIFS(Transactions!$E$5:$E$1504,Transactions!$C$5:$C$1504,A68,Transactions!$K$5:$K$1504,"Income")-SUMIFS(Transactions!$F$5:$F$1504,Transactions!$C$5:$C$1504,A68,Transactions!$K$5:$K$1504,"Income"))</f>
        <v/>
      </c>
      <c r="G68" s="36">
        <f>IF(A68="","",IF('Monthly P&amp;L'!$N$11=0,0,F68/'Monthly P&amp;L'!$N$11))</f>
        <v/>
      </c>
      <c r="H68" s="26">
        <f>IF(A68="","",SUMIFS(Invoices!$I$5:$I$404,Invoices!$B$5:$B$404,A68))</f>
        <v/>
      </c>
      <c r="I68" s="28" t="n"/>
    </row>
    <row r="69">
      <c r="A69" s="28" t="n"/>
      <c r="B69" s="28" t="n"/>
      <c r="C69" s="28" t="n"/>
      <c r="D69" s="28" t="n"/>
      <c r="E69" s="27" t="n"/>
      <c r="F69" s="26">
        <f>IF(A69="","",SUMIFS(Transactions!$E$5:$E$1504,Transactions!$C$5:$C$1504,A69,Transactions!$K$5:$K$1504,"Income")-SUMIFS(Transactions!$F$5:$F$1504,Transactions!$C$5:$C$1504,A69,Transactions!$K$5:$K$1504,"Income"))</f>
        <v/>
      </c>
      <c r="G69" s="36">
        <f>IF(A69="","",IF('Monthly P&amp;L'!$N$11=0,0,F69/'Monthly P&amp;L'!$N$11))</f>
        <v/>
      </c>
      <c r="H69" s="26">
        <f>IF(A69="","",SUMIFS(Invoices!$I$5:$I$404,Invoices!$B$5:$B$404,A69))</f>
        <v/>
      </c>
      <c r="I69" s="28" t="n"/>
    </row>
    <row r="70">
      <c r="A70" s="28" t="n"/>
      <c r="B70" s="28" t="n"/>
      <c r="C70" s="28" t="n"/>
      <c r="D70" s="28" t="n"/>
      <c r="E70" s="27" t="n"/>
      <c r="F70" s="26">
        <f>IF(A70="","",SUMIFS(Transactions!$E$5:$E$1504,Transactions!$C$5:$C$1504,A70,Transactions!$K$5:$K$1504,"Income")-SUMIFS(Transactions!$F$5:$F$1504,Transactions!$C$5:$C$1504,A70,Transactions!$K$5:$K$1504,"Income"))</f>
        <v/>
      </c>
      <c r="G70" s="36">
        <f>IF(A70="","",IF('Monthly P&amp;L'!$N$11=0,0,F70/'Monthly P&amp;L'!$N$11))</f>
        <v/>
      </c>
      <c r="H70" s="26">
        <f>IF(A70="","",SUMIFS(Invoices!$I$5:$I$404,Invoices!$B$5:$B$404,A70))</f>
        <v/>
      </c>
      <c r="I70" s="28" t="n"/>
    </row>
    <row r="71">
      <c r="A71" s="28" t="n"/>
      <c r="B71" s="28" t="n"/>
      <c r="C71" s="28" t="n"/>
      <c r="D71" s="28" t="n"/>
      <c r="E71" s="27" t="n"/>
      <c r="F71" s="26">
        <f>IF(A71="","",SUMIFS(Transactions!$E$5:$E$1504,Transactions!$C$5:$C$1504,A71,Transactions!$K$5:$K$1504,"Income")-SUMIFS(Transactions!$F$5:$F$1504,Transactions!$C$5:$C$1504,A71,Transactions!$K$5:$K$1504,"Income"))</f>
        <v/>
      </c>
      <c r="G71" s="36">
        <f>IF(A71="","",IF('Monthly P&amp;L'!$N$11=0,0,F71/'Monthly P&amp;L'!$N$11))</f>
        <v/>
      </c>
      <c r="H71" s="26">
        <f>IF(A71="","",SUMIFS(Invoices!$I$5:$I$404,Invoices!$B$5:$B$404,A71))</f>
        <v/>
      </c>
      <c r="I71" s="28" t="n"/>
    </row>
    <row r="72">
      <c r="A72" s="28" t="n"/>
      <c r="B72" s="28" t="n"/>
      <c r="C72" s="28" t="n"/>
      <c r="D72" s="28" t="n"/>
      <c r="E72" s="27" t="n"/>
      <c r="F72" s="26">
        <f>IF(A72="","",SUMIFS(Transactions!$E$5:$E$1504,Transactions!$C$5:$C$1504,A72,Transactions!$K$5:$K$1504,"Income")-SUMIFS(Transactions!$F$5:$F$1504,Transactions!$C$5:$C$1504,A72,Transactions!$K$5:$K$1504,"Income"))</f>
        <v/>
      </c>
      <c r="G72" s="36">
        <f>IF(A72="","",IF('Monthly P&amp;L'!$N$11=0,0,F72/'Monthly P&amp;L'!$N$11))</f>
        <v/>
      </c>
      <c r="H72" s="26">
        <f>IF(A72="","",SUMIFS(Invoices!$I$5:$I$404,Invoices!$B$5:$B$404,A72))</f>
        <v/>
      </c>
      <c r="I72" s="28" t="n"/>
    </row>
    <row r="73">
      <c r="A73" s="28" t="n"/>
      <c r="B73" s="28" t="n"/>
      <c r="C73" s="28" t="n"/>
      <c r="D73" s="28" t="n"/>
      <c r="E73" s="27" t="n"/>
      <c r="F73" s="26">
        <f>IF(A73="","",SUMIFS(Transactions!$E$5:$E$1504,Transactions!$C$5:$C$1504,A73,Transactions!$K$5:$K$1504,"Income")-SUMIFS(Transactions!$F$5:$F$1504,Transactions!$C$5:$C$1504,A73,Transactions!$K$5:$K$1504,"Income"))</f>
        <v/>
      </c>
      <c r="G73" s="36">
        <f>IF(A73="","",IF('Monthly P&amp;L'!$N$11=0,0,F73/'Monthly P&amp;L'!$N$11))</f>
        <v/>
      </c>
      <c r="H73" s="26">
        <f>IF(A73="","",SUMIFS(Invoices!$I$5:$I$404,Invoices!$B$5:$B$404,A73))</f>
        <v/>
      </c>
      <c r="I73" s="28" t="n"/>
    </row>
    <row r="74">
      <c r="A74" s="28" t="n"/>
      <c r="B74" s="28" t="n"/>
      <c r="C74" s="28" t="n"/>
      <c r="D74" s="28" t="n"/>
      <c r="E74" s="27" t="n"/>
      <c r="F74" s="26">
        <f>IF(A74="","",SUMIFS(Transactions!$E$5:$E$1504,Transactions!$C$5:$C$1504,A74,Transactions!$K$5:$K$1504,"Income")-SUMIFS(Transactions!$F$5:$F$1504,Transactions!$C$5:$C$1504,A74,Transactions!$K$5:$K$1504,"Income"))</f>
        <v/>
      </c>
      <c r="G74" s="36">
        <f>IF(A74="","",IF('Monthly P&amp;L'!$N$11=0,0,F74/'Monthly P&amp;L'!$N$11))</f>
        <v/>
      </c>
      <c r="H74" s="26">
        <f>IF(A74="","",SUMIFS(Invoices!$I$5:$I$404,Invoices!$B$5:$B$404,A74))</f>
        <v/>
      </c>
      <c r="I74" s="28" t="n"/>
    </row>
    <row r="75">
      <c r="A75" s="28" t="n"/>
      <c r="B75" s="28" t="n"/>
      <c r="C75" s="28" t="n"/>
      <c r="D75" s="28" t="n"/>
      <c r="E75" s="27" t="n"/>
      <c r="F75" s="26">
        <f>IF(A75="","",SUMIFS(Transactions!$E$5:$E$1504,Transactions!$C$5:$C$1504,A75,Transactions!$K$5:$K$1504,"Income")-SUMIFS(Transactions!$F$5:$F$1504,Transactions!$C$5:$C$1504,A75,Transactions!$K$5:$K$1504,"Income"))</f>
        <v/>
      </c>
      <c r="G75" s="36">
        <f>IF(A75="","",IF('Monthly P&amp;L'!$N$11=0,0,F75/'Monthly P&amp;L'!$N$11))</f>
        <v/>
      </c>
      <c r="H75" s="26">
        <f>IF(A75="","",SUMIFS(Invoices!$I$5:$I$404,Invoices!$B$5:$B$404,A75))</f>
        <v/>
      </c>
      <c r="I75" s="28" t="n"/>
    </row>
    <row r="76">
      <c r="A76" s="28" t="n"/>
      <c r="B76" s="28" t="n"/>
      <c r="C76" s="28" t="n"/>
      <c r="D76" s="28" t="n"/>
      <c r="E76" s="27" t="n"/>
      <c r="F76" s="26">
        <f>IF(A76="","",SUMIFS(Transactions!$E$5:$E$1504,Transactions!$C$5:$C$1504,A76,Transactions!$K$5:$K$1504,"Income")-SUMIFS(Transactions!$F$5:$F$1504,Transactions!$C$5:$C$1504,A76,Transactions!$K$5:$K$1504,"Income"))</f>
        <v/>
      </c>
      <c r="G76" s="36">
        <f>IF(A76="","",IF('Monthly P&amp;L'!$N$11=0,0,F76/'Monthly P&amp;L'!$N$11))</f>
        <v/>
      </c>
      <c r="H76" s="26">
        <f>IF(A76="","",SUMIFS(Invoices!$I$5:$I$404,Invoices!$B$5:$B$404,A76))</f>
        <v/>
      </c>
      <c r="I76" s="28" t="n"/>
    </row>
    <row r="77">
      <c r="A77" s="28" t="n"/>
      <c r="B77" s="28" t="n"/>
      <c r="C77" s="28" t="n"/>
      <c r="D77" s="28" t="n"/>
      <c r="E77" s="27" t="n"/>
      <c r="F77" s="26">
        <f>IF(A77="","",SUMIFS(Transactions!$E$5:$E$1504,Transactions!$C$5:$C$1504,A77,Transactions!$K$5:$K$1504,"Income")-SUMIFS(Transactions!$F$5:$F$1504,Transactions!$C$5:$C$1504,A77,Transactions!$K$5:$K$1504,"Income"))</f>
        <v/>
      </c>
      <c r="G77" s="36">
        <f>IF(A77="","",IF('Monthly P&amp;L'!$N$11=0,0,F77/'Monthly P&amp;L'!$N$11))</f>
        <v/>
      </c>
      <c r="H77" s="26">
        <f>IF(A77="","",SUMIFS(Invoices!$I$5:$I$404,Invoices!$B$5:$B$404,A77))</f>
        <v/>
      </c>
      <c r="I77" s="28" t="n"/>
    </row>
    <row r="78">
      <c r="A78" s="28" t="n"/>
      <c r="B78" s="28" t="n"/>
      <c r="C78" s="28" t="n"/>
      <c r="D78" s="28" t="n"/>
      <c r="E78" s="27" t="n"/>
      <c r="F78" s="26">
        <f>IF(A78="","",SUMIFS(Transactions!$E$5:$E$1504,Transactions!$C$5:$C$1504,A78,Transactions!$K$5:$K$1504,"Income")-SUMIFS(Transactions!$F$5:$F$1504,Transactions!$C$5:$C$1504,A78,Transactions!$K$5:$K$1504,"Income"))</f>
        <v/>
      </c>
      <c r="G78" s="36">
        <f>IF(A78="","",IF('Monthly P&amp;L'!$N$11=0,0,F78/'Monthly P&amp;L'!$N$11))</f>
        <v/>
      </c>
      <c r="H78" s="26">
        <f>IF(A78="","",SUMIFS(Invoices!$I$5:$I$404,Invoices!$B$5:$B$404,A78))</f>
        <v/>
      </c>
      <c r="I78" s="28" t="n"/>
    </row>
    <row r="79">
      <c r="A79" s="28" t="n"/>
      <c r="B79" s="28" t="n"/>
      <c r="C79" s="28" t="n"/>
      <c r="D79" s="28" t="n"/>
      <c r="E79" s="27" t="n"/>
      <c r="F79" s="26">
        <f>IF(A79="","",SUMIFS(Transactions!$E$5:$E$1504,Transactions!$C$5:$C$1504,A79,Transactions!$K$5:$K$1504,"Income")-SUMIFS(Transactions!$F$5:$F$1504,Transactions!$C$5:$C$1504,A79,Transactions!$K$5:$K$1504,"Income"))</f>
        <v/>
      </c>
      <c r="G79" s="36">
        <f>IF(A79="","",IF('Monthly P&amp;L'!$N$11=0,0,F79/'Monthly P&amp;L'!$N$11))</f>
        <v/>
      </c>
      <c r="H79" s="26">
        <f>IF(A79="","",SUMIFS(Invoices!$I$5:$I$404,Invoices!$B$5:$B$404,A79))</f>
        <v/>
      </c>
      <c r="I79" s="28" t="n"/>
    </row>
    <row r="80">
      <c r="A80" s="28" t="n"/>
      <c r="B80" s="28" t="n"/>
      <c r="C80" s="28" t="n"/>
      <c r="D80" s="28" t="n"/>
      <c r="E80" s="27" t="n"/>
      <c r="F80" s="26">
        <f>IF(A80="","",SUMIFS(Transactions!$E$5:$E$1504,Transactions!$C$5:$C$1504,A80,Transactions!$K$5:$K$1504,"Income")-SUMIFS(Transactions!$F$5:$F$1504,Transactions!$C$5:$C$1504,A80,Transactions!$K$5:$K$1504,"Income"))</f>
        <v/>
      </c>
      <c r="G80" s="36">
        <f>IF(A80="","",IF('Monthly P&amp;L'!$N$11=0,0,F80/'Monthly P&amp;L'!$N$11))</f>
        <v/>
      </c>
      <c r="H80" s="26">
        <f>IF(A80="","",SUMIFS(Invoices!$I$5:$I$404,Invoices!$B$5:$B$404,A80))</f>
        <v/>
      </c>
      <c r="I80" s="28" t="n"/>
    </row>
    <row r="81">
      <c r="A81" s="28" t="n"/>
      <c r="B81" s="28" t="n"/>
      <c r="C81" s="28" t="n"/>
      <c r="D81" s="28" t="n"/>
      <c r="E81" s="27" t="n"/>
      <c r="F81" s="26">
        <f>IF(A81="","",SUMIFS(Transactions!$E$5:$E$1504,Transactions!$C$5:$C$1504,A81,Transactions!$K$5:$K$1504,"Income")-SUMIFS(Transactions!$F$5:$F$1504,Transactions!$C$5:$C$1504,A81,Transactions!$K$5:$K$1504,"Income"))</f>
        <v/>
      </c>
      <c r="G81" s="36">
        <f>IF(A81="","",IF('Monthly P&amp;L'!$N$11=0,0,F81/'Monthly P&amp;L'!$N$11))</f>
        <v/>
      </c>
      <c r="H81" s="26">
        <f>IF(A81="","",SUMIFS(Invoices!$I$5:$I$404,Invoices!$B$5:$B$404,A81))</f>
        <v/>
      </c>
      <c r="I81" s="28" t="n"/>
    </row>
    <row r="82">
      <c r="A82" s="28" t="n"/>
      <c r="B82" s="28" t="n"/>
      <c r="C82" s="28" t="n"/>
      <c r="D82" s="28" t="n"/>
      <c r="E82" s="27" t="n"/>
      <c r="F82" s="26">
        <f>IF(A82="","",SUMIFS(Transactions!$E$5:$E$1504,Transactions!$C$5:$C$1504,A82,Transactions!$K$5:$K$1504,"Income")-SUMIFS(Transactions!$F$5:$F$1504,Transactions!$C$5:$C$1504,A82,Transactions!$K$5:$K$1504,"Income"))</f>
        <v/>
      </c>
      <c r="G82" s="36">
        <f>IF(A82="","",IF('Monthly P&amp;L'!$N$11=0,0,F82/'Monthly P&amp;L'!$N$11))</f>
        <v/>
      </c>
      <c r="H82" s="26">
        <f>IF(A82="","",SUMIFS(Invoices!$I$5:$I$404,Invoices!$B$5:$B$404,A82))</f>
        <v/>
      </c>
      <c r="I82" s="28" t="n"/>
    </row>
    <row r="83">
      <c r="A83" s="28" t="n"/>
      <c r="B83" s="28" t="n"/>
      <c r="C83" s="28" t="n"/>
      <c r="D83" s="28" t="n"/>
      <c r="E83" s="27" t="n"/>
      <c r="F83" s="26">
        <f>IF(A83="","",SUMIFS(Transactions!$E$5:$E$1504,Transactions!$C$5:$C$1504,A83,Transactions!$K$5:$K$1504,"Income")-SUMIFS(Transactions!$F$5:$F$1504,Transactions!$C$5:$C$1504,A83,Transactions!$K$5:$K$1504,"Income"))</f>
        <v/>
      </c>
      <c r="G83" s="36">
        <f>IF(A83="","",IF('Monthly P&amp;L'!$N$11=0,0,F83/'Monthly P&amp;L'!$N$11))</f>
        <v/>
      </c>
      <c r="H83" s="26">
        <f>IF(A83="","",SUMIFS(Invoices!$I$5:$I$404,Invoices!$B$5:$B$404,A83))</f>
        <v/>
      </c>
      <c r="I83" s="28" t="n"/>
    </row>
    <row r="84">
      <c r="A84" s="28" t="n"/>
      <c r="B84" s="28" t="n"/>
      <c r="C84" s="28" t="n"/>
      <c r="D84" s="28" t="n"/>
      <c r="E84" s="27" t="n"/>
      <c r="F84" s="26">
        <f>IF(A84="","",SUMIFS(Transactions!$E$5:$E$1504,Transactions!$C$5:$C$1504,A84,Transactions!$K$5:$K$1504,"Income")-SUMIFS(Transactions!$F$5:$F$1504,Transactions!$C$5:$C$1504,A84,Transactions!$K$5:$K$1504,"Income"))</f>
        <v/>
      </c>
      <c r="G84" s="36">
        <f>IF(A84="","",IF('Monthly P&amp;L'!$N$11=0,0,F84/'Monthly P&amp;L'!$N$11))</f>
        <v/>
      </c>
      <c r="H84" s="26">
        <f>IF(A84="","",SUMIFS(Invoices!$I$5:$I$404,Invoices!$B$5:$B$404,A84))</f>
        <v/>
      </c>
      <c r="I84" s="28" t="n"/>
    </row>
    <row r="85">
      <c r="A85" s="28" t="n"/>
      <c r="B85" s="28" t="n"/>
      <c r="C85" s="28" t="n"/>
      <c r="D85" s="28" t="n"/>
      <c r="E85" s="27" t="n"/>
      <c r="F85" s="26">
        <f>IF(A85="","",SUMIFS(Transactions!$E$5:$E$1504,Transactions!$C$5:$C$1504,A85,Transactions!$K$5:$K$1504,"Income")-SUMIFS(Transactions!$F$5:$F$1504,Transactions!$C$5:$C$1504,A85,Transactions!$K$5:$K$1504,"Income"))</f>
        <v/>
      </c>
      <c r="G85" s="36">
        <f>IF(A85="","",IF('Monthly P&amp;L'!$N$11=0,0,F85/'Monthly P&amp;L'!$N$11))</f>
        <v/>
      </c>
      <c r="H85" s="26">
        <f>IF(A85="","",SUMIFS(Invoices!$I$5:$I$404,Invoices!$B$5:$B$404,A85))</f>
        <v/>
      </c>
      <c r="I85" s="28" t="n"/>
    </row>
    <row r="86">
      <c r="A86" s="28" t="n"/>
      <c r="B86" s="28" t="n"/>
      <c r="C86" s="28" t="n"/>
      <c r="D86" s="28" t="n"/>
      <c r="E86" s="27" t="n"/>
      <c r="F86" s="26">
        <f>IF(A86="","",SUMIFS(Transactions!$E$5:$E$1504,Transactions!$C$5:$C$1504,A86,Transactions!$K$5:$K$1504,"Income")-SUMIFS(Transactions!$F$5:$F$1504,Transactions!$C$5:$C$1504,A86,Transactions!$K$5:$K$1504,"Income"))</f>
        <v/>
      </c>
      <c r="G86" s="36">
        <f>IF(A86="","",IF('Monthly P&amp;L'!$N$11=0,0,F86/'Monthly P&amp;L'!$N$11))</f>
        <v/>
      </c>
      <c r="H86" s="26">
        <f>IF(A86="","",SUMIFS(Invoices!$I$5:$I$404,Invoices!$B$5:$B$404,A86))</f>
        <v/>
      </c>
      <c r="I86" s="28" t="n"/>
    </row>
    <row r="87">
      <c r="A87" s="28" t="n"/>
      <c r="B87" s="28" t="n"/>
      <c r="C87" s="28" t="n"/>
      <c r="D87" s="28" t="n"/>
      <c r="E87" s="27" t="n"/>
      <c r="F87" s="26">
        <f>IF(A87="","",SUMIFS(Transactions!$E$5:$E$1504,Transactions!$C$5:$C$1504,A87,Transactions!$K$5:$K$1504,"Income")-SUMIFS(Transactions!$F$5:$F$1504,Transactions!$C$5:$C$1504,A87,Transactions!$K$5:$K$1504,"Income"))</f>
        <v/>
      </c>
      <c r="G87" s="36">
        <f>IF(A87="","",IF('Monthly P&amp;L'!$N$11=0,0,F87/'Monthly P&amp;L'!$N$11))</f>
        <v/>
      </c>
      <c r="H87" s="26">
        <f>IF(A87="","",SUMIFS(Invoices!$I$5:$I$404,Invoices!$B$5:$B$404,A87))</f>
        <v/>
      </c>
      <c r="I87" s="28" t="n"/>
    </row>
    <row r="88">
      <c r="A88" s="28" t="n"/>
      <c r="B88" s="28" t="n"/>
      <c r="C88" s="28" t="n"/>
      <c r="D88" s="28" t="n"/>
      <c r="E88" s="27" t="n"/>
      <c r="F88" s="26">
        <f>IF(A88="","",SUMIFS(Transactions!$E$5:$E$1504,Transactions!$C$5:$C$1504,A88,Transactions!$K$5:$K$1504,"Income")-SUMIFS(Transactions!$F$5:$F$1504,Transactions!$C$5:$C$1504,A88,Transactions!$K$5:$K$1504,"Income"))</f>
        <v/>
      </c>
      <c r="G88" s="36">
        <f>IF(A88="","",IF('Monthly P&amp;L'!$N$11=0,0,F88/'Monthly P&amp;L'!$N$11))</f>
        <v/>
      </c>
      <c r="H88" s="26">
        <f>IF(A88="","",SUMIFS(Invoices!$I$5:$I$404,Invoices!$B$5:$B$404,A88))</f>
        <v/>
      </c>
      <c r="I88" s="28" t="n"/>
    </row>
    <row r="89">
      <c r="A89" s="28" t="n"/>
      <c r="B89" s="28" t="n"/>
      <c r="C89" s="28" t="n"/>
      <c r="D89" s="28" t="n"/>
      <c r="E89" s="27" t="n"/>
      <c r="F89" s="26">
        <f>IF(A89="","",SUMIFS(Transactions!$E$5:$E$1504,Transactions!$C$5:$C$1504,A89,Transactions!$K$5:$K$1504,"Income")-SUMIFS(Transactions!$F$5:$F$1504,Transactions!$C$5:$C$1504,A89,Transactions!$K$5:$K$1504,"Income"))</f>
        <v/>
      </c>
      <c r="G89" s="36">
        <f>IF(A89="","",IF('Monthly P&amp;L'!$N$11=0,0,F89/'Monthly P&amp;L'!$N$11))</f>
        <v/>
      </c>
      <c r="H89" s="26">
        <f>IF(A89="","",SUMIFS(Invoices!$I$5:$I$404,Invoices!$B$5:$B$404,A89))</f>
        <v/>
      </c>
      <c r="I89" s="28" t="n"/>
    </row>
    <row r="90">
      <c r="A90" s="28" t="n"/>
      <c r="B90" s="28" t="n"/>
      <c r="C90" s="28" t="n"/>
      <c r="D90" s="28" t="n"/>
      <c r="E90" s="27" t="n"/>
      <c r="F90" s="26">
        <f>IF(A90="","",SUMIFS(Transactions!$E$5:$E$1504,Transactions!$C$5:$C$1504,A90,Transactions!$K$5:$K$1504,"Income")-SUMIFS(Transactions!$F$5:$F$1504,Transactions!$C$5:$C$1504,A90,Transactions!$K$5:$K$1504,"Income"))</f>
        <v/>
      </c>
      <c r="G90" s="36">
        <f>IF(A90="","",IF('Monthly P&amp;L'!$N$11=0,0,F90/'Monthly P&amp;L'!$N$11))</f>
        <v/>
      </c>
      <c r="H90" s="26">
        <f>IF(A90="","",SUMIFS(Invoices!$I$5:$I$404,Invoices!$B$5:$B$404,A90))</f>
        <v/>
      </c>
      <c r="I90" s="28" t="n"/>
    </row>
    <row r="91">
      <c r="A91" s="28" t="n"/>
      <c r="B91" s="28" t="n"/>
      <c r="C91" s="28" t="n"/>
      <c r="D91" s="28" t="n"/>
      <c r="E91" s="27" t="n"/>
      <c r="F91" s="26">
        <f>IF(A91="","",SUMIFS(Transactions!$E$5:$E$1504,Transactions!$C$5:$C$1504,A91,Transactions!$K$5:$K$1504,"Income")-SUMIFS(Transactions!$F$5:$F$1504,Transactions!$C$5:$C$1504,A91,Transactions!$K$5:$K$1504,"Income"))</f>
        <v/>
      </c>
      <c r="G91" s="36">
        <f>IF(A91="","",IF('Monthly P&amp;L'!$N$11=0,0,F91/'Monthly P&amp;L'!$N$11))</f>
        <v/>
      </c>
      <c r="H91" s="26">
        <f>IF(A91="","",SUMIFS(Invoices!$I$5:$I$404,Invoices!$B$5:$B$404,A91))</f>
        <v/>
      </c>
      <c r="I91" s="28" t="n"/>
    </row>
    <row r="92">
      <c r="A92" s="28" t="n"/>
      <c r="B92" s="28" t="n"/>
      <c r="C92" s="28" t="n"/>
      <c r="D92" s="28" t="n"/>
      <c r="E92" s="27" t="n"/>
      <c r="F92" s="26">
        <f>IF(A92="","",SUMIFS(Transactions!$E$5:$E$1504,Transactions!$C$5:$C$1504,A92,Transactions!$K$5:$K$1504,"Income")-SUMIFS(Transactions!$F$5:$F$1504,Transactions!$C$5:$C$1504,A92,Transactions!$K$5:$K$1504,"Income"))</f>
        <v/>
      </c>
      <c r="G92" s="36">
        <f>IF(A92="","",IF('Monthly P&amp;L'!$N$11=0,0,F92/'Monthly P&amp;L'!$N$11))</f>
        <v/>
      </c>
      <c r="H92" s="26">
        <f>IF(A92="","",SUMIFS(Invoices!$I$5:$I$404,Invoices!$B$5:$B$404,A92))</f>
        <v/>
      </c>
      <c r="I92" s="28" t="n"/>
    </row>
    <row r="93">
      <c r="A93" s="28" t="n"/>
      <c r="B93" s="28" t="n"/>
      <c r="C93" s="28" t="n"/>
      <c r="D93" s="28" t="n"/>
      <c r="E93" s="27" t="n"/>
      <c r="F93" s="26">
        <f>IF(A93="","",SUMIFS(Transactions!$E$5:$E$1504,Transactions!$C$5:$C$1504,A93,Transactions!$K$5:$K$1504,"Income")-SUMIFS(Transactions!$F$5:$F$1504,Transactions!$C$5:$C$1504,A93,Transactions!$K$5:$K$1504,"Income"))</f>
        <v/>
      </c>
      <c r="G93" s="36">
        <f>IF(A93="","",IF('Monthly P&amp;L'!$N$11=0,0,F93/'Monthly P&amp;L'!$N$11))</f>
        <v/>
      </c>
      <c r="H93" s="26">
        <f>IF(A93="","",SUMIFS(Invoices!$I$5:$I$404,Invoices!$B$5:$B$404,A93))</f>
        <v/>
      </c>
      <c r="I93" s="28" t="n"/>
    </row>
    <row r="94">
      <c r="A94" s="28" t="n"/>
      <c r="B94" s="28" t="n"/>
      <c r="C94" s="28" t="n"/>
      <c r="D94" s="28" t="n"/>
      <c r="E94" s="27" t="n"/>
      <c r="F94" s="26">
        <f>IF(A94="","",SUMIFS(Transactions!$E$5:$E$1504,Transactions!$C$5:$C$1504,A94,Transactions!$K$5:$K$1504,"Income")-SUMIFS(Transactions!$F$5:$F$1504,Transactions!$C$5:$C$1504,A94,Transactions!$K$5:$K$1504,"Income"))</f>
        <v/>
      </c>
      <c r="G94" s="36">
        <f>IF(A94="","",IF('Monthly P&amp;L'!$N$11=0,0,F94/'Monthly P&amp;L'!$N$11))</f>
        <v/>
      </c>
      <c r="H94" s="26">
        <f>IF(A94="","",SUMIFS(Invoices!$I$5:$I$404,Invoices!$B$5:$B$404,A94))</f>
        <v/>
      </c>
      <c r="I94" s="28" t="n"/>
    </row>
    <row r="95">
      <c r="A95" s="28" t="n"/>
      <c r="B95" s="28" t="n"/>
      <c r="C95" s="28" t="n"/>
      <c r="D95" s="28" t="n"/>
      <c r="E95" s="27" t="n"/>
      <c r="F95" s="26">
        <f>IF(A95="","",SUMIFS(Transactions!$E$5:$E$1504,Transactions!$C$5:$C$1504,A95,Transactions!$K$5:$K$1504,"Income")-SUMIFS(Transactions!$F$5:$F$1504,Transactions!$C$5:$C$1504,A95,Transactions!$K$5:$K$1504,"Income"))</f>
        <v/>
      </c>
      <c r="G95" s="36">
        <f>IF(A95="","",IF('Monthly P&amp;L'!$N$11=0,0,F95/'Monthly P&amp;L'!$N$11))</f>
        <v/>
      </c>
      <c r="H95" s="26">
        <f>IF(A95="","",SUMIFS(Invoices!$I$5:$I$404,Invoices!$B$5:$B$404,A95))</f>
        <v/>
      </c>
      <c r="I95" s="28" t="n"/>
    </row>
    <row r="96">
      <c r="A96" s="28" t="n"/>
      <c r="B96" s="28" t="n"/>
      <c r="C96" s="28" t="n"/>
      <c r="D96" s="28" t="n"/>
      <c r="E96" s="27" t="n"/>
      <c r="F96" s="26">
        <f>IF(A96="","",SUMIFS(Transactions!$E$5:$E$1504,Transactions!$C$5:$C$1504,A96,Transactions!$K$5:$K$1504,"Income")-SUMIFS(Transactions!$F$5:$F$1504,Transactions!$C$5:$C$1504,A96,Transactions!$K$5:$K$1504,"Income"))</f>
        <v/>
      </c>
      <c r="G96" s="36">
        <f>IF(A96="","",IF('Monthly P&amp;L'!$N$11=0,0,F96/'Monthly P&amp;L'!$N$11))</f>
        <v/>
      </c>
      <c r="H96" s="26">
        <f>IF(A96="","",SUMIFS(Invoices!$I$5:$I$404,Invoices!$B$5:$B$404,A96))</f>
        <v/>
      </c>
      <c r="I96" s="28" t="n"/>
    </row>
    <row r="97">
      <c r="A97" s="28" t="n"/>
      <c r="B97" s="28" t="n"/>
      <c r="C97" s="28" t="n"/>
      <c r="D97" s="28" t="n"/>
      <c r="E97" s="27" t="n"/>
      <c r="F97" s="26">
        <f>IF(A97="","",SUMIFS(Transactions!$E$5:$E$1504,Transactions!$C$5:$C$1504,A97,Transactions!$K$5:$K$1504,"Income")-SUMIFS(Transactions!$F$5:$F$1504,Transactions!$C$5:$C$1504,A97,Transactions!$K$5:$K$1504,"Income"))</f>
        <v/>
      </c>
      <c r="G97" s="36">
        <f>IF(A97="","",IF('Monthly P&amp;L'!$N$11=0,0,F97/'Monthly P&amp;L'!$N$11))</f>
        <v/>
      </c>
      <c r="H97" s="26">
        <f>IF(A97="","",SUMIFS(Invoices!$I$5:$I$404,Invoices!$B$5:$B$404,A97))</f>
        <v/>
      </c>
      <c r="I97" s="28" t="n"/>
    </row>
    <row r="98">
      <c r="A98" s="28" t="n"/>
      <c r="B98" s="28" t="n"/>
      <c r="C98" s="28" t="n"/>
      <c r="D98" s="28" t="n"/>
      <c r="E98" s="27" t="n"/>
      <c r="F98" s="26">
        <f>IF(A98="","",SUMIFS(Transactions!$E$5:$E$1504,Transactions!$C$5:$C$1504,A98,Transactions!$K$5:$K$1504,"Income")-SUMIFS(Transactions!$F$5:$F$1504,Transactions!$C$5:$C$1504,A98,Transactions!$K$5:$K$1504,"Income"))</f>
        <v/>
      </c>
      <c r="G98" s="36">
        <f>IF(A98="","",IF('Monthly P&amp;L'!$N$11=0,0,F98/'Monthly P&amp;L'!$N$11))</f>
        <v/>
      </c>
      <c r="H98" s="26">
        <f>IF(A98="","",SUMIFS(Invoices!$I$5:$I$404,Invoices!$B$5:$B$404,A98))</f>
        <v/>
      </c>
      <c r="I98" s="28" t="n"/>
    </row>
    <row r="99">
      <c r="A99" s="28" t="n"/>
      <c r="B99" s="28" t="n"/>
      <c r="C99" s="28" t="n"/>
      <c r="D99" s="28" t="n"/>
      <c r="E99" s="27" t="n"/>
      <c r="F99" s="26">
        <f>IF(A99="","",SUMIFS(Transactions!$E$5:$E$1504,Transactions!$C$5:$C$1504,A99,Transactions!$K$5:$K$1504,"Income")-SUMIFS(Transactions!$F$5:$F$1504,Transactions!$C$5:$C$1504,A99,Transactions!$K$5:$K$1504,"Income"))</f>
        <v/>
      </c>
      <c r="G99" s="36">
        <f>IF(A99="","",IF('Monthly P&amp;L'!$N$11=0,0,F99/'Monthly P&amp;L'!$N$11))</f>
        <v/>
      </c>
      <c r="H99" s="26">
        <f>IF(A99="","",SUMIFS(Invoices!$I$5:$I$404,Invoices!$B$5:$B$404,A99))</f>
        <v/>
      </c>
      <c r="I99" s="28" t="n"/>
    </row>
    <row r="100">
      <c r="A100" s="28" t="n"/>
      <c r="B100" s="28" t="n"/>
      <c r="C100" s="28" t="n"/>
      <c r="D100" s="28" t="n"/>
      <c r="E100" s="27" t="n"/>
      <c r="F100" s="26">
        <f>IF(A100="","",SUMIFS(Transactions!$E$5:$E$1504,Transactions!$C$5:$C$1504,A100,Transactions!$K$5:$K$1504,"Income")-SUMIFS(Transactions!$F$5:$F$1504,Transactions!$C$5:$C$1504,A100,Transactions!$K$5:$K$1504,"Income"))</f>
        <v/>
      </c>
      <c r="G100" s="36">
        <f>IF(A100="","",IF('Monthly P&amp;L'!$N$11=0,0,F100/'Monthly P&amp;L'!$N$11))</f>
        <v/>
      </c>
      <c r="H100" s="26">
        <f>IF(A100="","",SUMIFS(Invoices!$I$5:$I$404,Invoices!$B$5:$B$404,A100))</f>
        <v/>
      </c>
      <c r="I100" s="28" t="n"/>
    </row>
    <row r="101">
      <c r="A101" s="28" t="n"/>
      <c r="B101" s="28" t="n"/>
      <c r="C101" s="28" t="n"/>
      <c r="D101" s="28" t="n"/>
      <c r="E101" s="27" t="n"/>
      <c r="F101" s="26">
        <f>IF(A101="","",SUMIFS(Transactions!$E$5:$E$1504,Transactions!$C$5:$C$1504,A101,Transactions!$K$5:$K$1504,"Income")-SUMIFS(Transactions!$F$5:$F$1504,Transactions!$C$5:$C$1504,A101,Transactions!$K$5:$K$1504,"Income"))</f>
        <v/>
      </c>
      <c r="G101" s="36">
        <f>IF(A101="","",IF('Monthly P&amp;L'!$N$11=0,0,F101/'Monthly P&amp;L'!$N$11))</f>
        <v/>
      </c>
      <c r="H101" s="26">
        <f>IF(A101="","",SUMIFS(Invoices!$I$5:$I$404,Invoices!$B$5:$B$404,A101))</f>
        <v/>
      </c>
      <c r="I101" s="28" t="n"/>
    </row>
    <row r="102">
      <c r="A102" s="28" t="n"/>
      <c r="B102" s="28" t="n"/>
      <c r="C102" s="28" t="n"/>
      <c r="D102" s="28" t="n"/>
      <c r="E102" s="27" t="n"/>
      <c r="F102" s="26">
        <f>IF(A102="","",SUMIFS(Transactions!$E$5:$E$1504,Transactions!$C$5:$C$1504,A102,Transactions!$K$5:$K$1504,"Income")-SUMIFS(Transactions!$F$5:$F$1504,Transactions!$C$5:$C$1504,A102,Transactions!$K$5:$K$1504,"Income"))</f>
        <v/>
      </c>
      <c r="G102" s="36">
        <f>IF(A102="","",IF('Monthly P&amp;L'!$N$11=0,0,F102/'Monthly P&amp;L'!$N$11))</f>
        <v/>
      </c>
      <c r="H102" s="26">
        <f>IF(A102="","",SUMIFS(Invoices!$I$5:$I$404,Invoices!$B$5:$B$404,A102))</f>
        <v/>
      </c>
      <c r="I102" s="28" t="n"/>
    </row>
    <row r="103">
      <c r="A103" s="28" t="n"/>
      <c r="B103" s="28" t="n"/>
      <c r="C103" s="28" t="n"/>
      <c r="D103" s="28" t="n"/>
      <c r="E103" s="27" t="n"/>
      <c r="F103" s="26">
        <f>IF(A103="","",SUMIFS(Transactions!$E$5:$E$1504,Transactions!$C$5:$C$1504,A103,Transactions!$K$5:$K$1504,"Income")-SUMIFS(Transactions!$F$5:$F$1504,Transactions!$C$5:$C$1504,A103,Transactions!$K$5:$K$1504,"Income"))</f>
        <v/>
      </c>
      <c r="G103" s="36">
        <f>IF(A103="","",IF('Monthly P&amp;L'!$N$11=0,0,F103/'Monthly P&amp;L'!$N$11))</f>
        <v/>
      </c>
      <c r="H103" s="26">
        <f>IF(A103="","",SUMIFS(Invoices!$I$5:$I$404,Invoices!$B$5:$B$404,A103))</f>
        <v/>
      </c>
      <c r="I103" s="28" t="n"/>
    </row>
    <row r="104">
      <c r="A104" s="28" t="n"/>
      <c r="B104" s="28" t="n"/>
      <c r="C104" s="28" t="n"/>
      <c r="D104" s="28" t="n"/>
      <c r="E104" s="27" t="n"/>
      <c r="F104" s="26">
        <f>IF(A104="","",SUMIFS(Transactions!$E$5:$E$1504,Transactions!$C$5:$C$1504,A104,Transactions!$K$5:$K$1504,"Income")-SUMIFS(Transactions!$F$5:$F$1504,Transactions!$C$5:$C$1504,A104,Transactions!$K$5:$K$1504,"Income"))</f>
        <v/>
      </c>
      <c r="G104" s="36">
        <f>IF(A104="","",IF('Monthly P&amp;L'!$N$11=0,0,F104/'Monthly P&amp;L'!$N$11))</f>
        <v/>
      </c>
      <c r="H104" s="26">
        <f>IF(A104="","",SUMIFS(Invoices!$I$5:$I$404,Invoices!$B$5:$B$404,A104))</f>
        <v/>
      </c>
      <c r="I104" s="28" t="n"/>
    </row>
  </sheetData>
  <conditionalFormatting sqref="G5:G104">
    <cfRule type="cellIs" priority="1" operator="greaterThan" dxfId="0">
      <formula>0.3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N5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1" t="inlineStr">
        <is>
          <t>Profit &amp; Loss: did we make money each month?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3" t="inlineStr">
        <is>
          <t>Fully automatic from the Transactions sheet. Financial year April–March.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30" customHeight="1">
      <c r="A4" s="18" t="inlineStr">
        <is>
          <t>Line item (Rs)</t>
        </is>
      </c>
      <c r="B4" s="37">
        <f>Setup!$B$6</f>
        <v/>
      </c>
      <c r="C4" s="37">
        <f>EDATE(B4,1)</f>
        <v/>
      </c>
      <c r="D4" s="37">
        <f>EDATE(C4,1)</f>
        <v/>
      </c>
      <c r="E4" s="37">
        <f>EDATE(D4,1)</f>
        <v/>
      </c>
      <c r="F4" s="37">
        <f>EDATE(E4,1)</f>
        <v/>
      </c>
      <c r="G4" s="37">
        <f>EDATE(F4,1)</f>
        <v/>
      </c>
      <c r="H4" s="37">
        <f>EDATE(G4,1)</f>
        <v/>
      </c>
      <c r="I4" s="37">
        <f>EDATE(H4,1)</f>
        <v/>
      </c>
      <c r="J4" s="37">
        <f>EDATE(I4,1)</f>
        <v/>
      </c>
      <c r="K4" s="37">
        <f>EDATE(J4,1)</f>
        <v/>
      </c>
      <c r="L4" s="37">
        <f>EDATE(K4,1)</f>
        <v/>
      </c>
      <c r="M4" s="37">
        <f>EDATE(L4,1)</f>
        <v/>
      </c>
      <c r="N4" s="18" t="inlineStr">
        <is>
          <t>FY total</t>
        </is>
      </c>
    </row>
    <row r="5">
      <c r="A5" s="38" t="inlineStr">
        <is>
          <t>REVENUE (sales)</t>
        </is>
      </c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</row>
    <row r="6">
      <c r="A6" s="40">
        <f>IF(Setup!$A$24="","",Setup!$A$24)</f>
        <v/>
      </c>
      <c r="B6" s="41">
        <f>IF($A6="",0,SUMIFS(Transactions!$E$5:$E$1504,Transactions!$D$5:$D$1504,$A6,Transactions!$L$5:$L$1504,B$4)-SUMIFS(Transactions!$F$5:$F$1504,Transactions!$D$5:$D$1504,$A6,Transactions!$L$5:$L$1504,B$4))</f>
        <v/>
      </c>
      <c r="C6" s="41">
        <f>IF($A6="",0,SUMIFS(Transactions!$E$5:$E$1504,Transactions!$D$5:$D$1504,$A6,Transactions!$L$5:$L$1504,C$4)-SUMIFS(Transactions!$F$5:$F$1504,Transactions!$D$5:$D$1504,$A6,Transactions!$L$5:$L$1504,C$4))</f>
        <v/>
      </c>
      <c r="D6" s="41">
        <f>IF($A6="",0,SUMIFS(Transactions!$E$5:$E$1504,Transactions!$D$5:$D$1504,$A6,Transactions!$L$5:$L$1504,D$4)-SUMIFS(Transactions!$F$5:$F$1504,Transactions!$D$5:$D$1504,$A6,Transactions!$L$5:$L$1504,D$4))</f>
        <v/>
      </c>
      <c r="E6" s="41">
        <f>IF($A6="",0,SUMIFS(Transactions!$E$5:$E$1504,Transactions!$D$5:$D$1504,$A6,Transactions!$L$5:$L$1504,E$4)-SUMIFS(Transactions!$F$5:$F$1504,Transactions!$D$5:$D$1504,$A6,Transactions!$L$5:$L$1504,E$4))</f>
        <v/>
      </c>
      <c r="F6" s="41">
        <f>IF($A6="",0,SUMIFS(Transactions!$E$5:$E$1504,Transactions!$D$5:$D$1504,$A6,Transactions!$L$5:$L$1504,F$4)-SUMIFS(Transactions!$F$5:$F$1504,Transactions!$D$5:$D$1504,$A6,Transactions!$L$5:$L$1504,F$4))</f>
        <v/>
      </c>
      <c r="G6" s="41">
        <f>IF($A6="",0,SUMIFS(Transactions!$E$5:$E$1504,Transactions!$D$5:$D$1504,$A6,Transactions!$L$5:$L$1504,G$4)-SUMIFS(Transactions!$F$5:$F$1504,Transactions!$D$5:$D$1504,$A6,Transactions!$L$5:$L$1504,G$4))</f>
        <v/>
      </c>
      <c r="H6" s="41">
        <f>IF($A6="",0,SUMIFS(Transactions!$E$5:$E$1504,Transactions!$D$5:$D$1504,$A6,Transactions!$L$5:$L$1504,H$4)-SUMIFS(Transactions!$F$5:$F$1504,Transactions!$D$5:$D$1504,$A6,Transactions!$L$5:$L$1504,H$4))</f>
        <v/>
      </c>
      <c r="I6" s="41">
        <f>IF($A6="",0,SUMIFS(Transactions!$E$5:$E$1504,Transactions!$D$5:$D$1504,$A6,Transactions!$L$5:$L$1504,I$4)-SUMIFS(Transactions!$F$5:$F$1504,Transactions!$D$5:$D$1504,$A6,Transactions!$L$5:$L$1504,I$4))</f>
        <v/>
      </c>
      <c r="J6" s="41">
        <f>IF($A6="",0,SUMIFS(Transactions!$E$5:$E$1504,Transactions!$D$5:$D$1504,$A6,Transactions!$L$5:$L$1504,J$4)-SUMIFS(Transactions!$F$5:$F$1504,Transactions!$D$5:$D$1504,$A6,Transactions!$L$5:$L$1504,J$4))</f>
        <v/>
      </c>
      <c r="K6" s="41">
        <f>IF($A6="",0,SUMIFS(Transactions!$E$5:$E$1504,Transactions!$D$5:$D$1504,$A6,Transactions!$L$5:$L$1504,K$4)-SUMIFS(Transactions!$F$5:$F$1504,Transactions!$D$5:$D$1504,$A6,Transactions!$L$5:$L$1504,K$4))</f>
        <v/>
      </c>
      <c r="L6" s="41">
        <f>IF($A6="",0,SUMIFS(Transactions!$E$5:$E$1504,Transactions!$D$5:$D$1504,$A6,Transactions!$L$5:$L$1504,L$4)-SUMIFS(Transactions!$F$5:$F$1504,Transactions!$D$5:$D$1504,$A6,Transactions!$L$5:$L$1504,L$4))</f>
        <v/>
      </c>
      <c r="M6" s="41">
        <f>IF($A6="",0,SUMIFS(Transactions!$E$5:$E$1504,Transactions!$D$5:$D$1504,$A6,Transactions!$L$5:$L$1504,M$4)-SUMIFS(Transactions!$F$5:$F$1504,Transactions!$D$5:$D$1504,$A6,Transactions!$L$5:$L$1504,M$4))</f>
        <v/>
      </c>
      <c r="N6" s="19">
        <f>SUM(B6:M6)</f>
        <v/>
      </c>
    </row>
    <row r="7">
      <c r="A7" s="40">
        <f>IF(Setup!$A$25="","",Setup!$A$25)</f>
        <v/>
      </c>
      <c r="B7" s="41">
        <f>IF($A7="",0,SUMIFS(Transactions!$E$5:$E$1504,Transactions!$D$5:$D$1504,$A7,Transactions!$L$5:$L$1504,B$4)-SUMIFS(Transactions!$F$5:$F$1504,Transactions!$D$5:$D$1504,$A7,Transactions!$L$5:$L$1504,B$4))</f>
        <v/>
      </c>
      <c r="C7" s="41">
        <f>IF($A7="",0,SUMIFS(Transactions!$E$5:$E$1504,Transactions!$D$5:$D$1504,$A7,Transactions!$L$5:$L$1504,C$4)-SUMIFS(Transactions!$F$5:$F$1504,Transactions!$D$5:$D$1504,$A7,Transactions!$L$5:$L$1504,C$4))</f>
        <v/>
      </c>
      <c r="D7" s="41">
        <f>IF($A7="",0,SUMIFS(Transactions!$E$5:$E$1504,Transactions!$D$5:$D$1504,$A7,Transactions!$L$5:$L$1504,D$4)-SUMIFS(Transactions!$F$5:$F$1504,Transactions!$D$5:$D$1504,$A7,Transactions!$L$5:$L$1504,D$4))</f>
        <v/>
      </c>
      <c r="E7" s="41">
        <f>IF($A7="",0,SUMIFS(Transactions!$E$5:$E$1504,Transactions!$D$5:$D$1504,$A7,Transactions!$L$5:$L$1504,E$4)-SUMIFS(Transactions!$F$5:$F$1504,Transactions!$D$5:$D$1504,$A7,Transactions!$L$5:$L$1504,E$4))</f>
        <v/>
      </c>
      <c r="F7" s="41">
        <f>IF($A7="",0,SUMIFS(Transactions!$E$5:$E$1504,Transactions!$D$5:$D$1504,$A7,Transactions!$L$5:$L$1504,F$4)-SUMIFS(Transactions!$F$5:$F$1504,Transactions!$D$5:$D$1504,$A7,Transactions!$L$5:$L$1504,F$4))</f>
        <v/>
      </c>
      <c r="G7" s="41">
        <f>IF($A7="",0,SUMIFS(Transactions!$E$5:$E$1504,Transactions!$D$5:$D$1504,$A7,Transactions!$L$5:$L$1504,G$4)-SUMIFS(Transactions!$F$5:$F$1504,Transactions!$D$5:$D$1504,$A7,Transactions!$L$5:$L$1504,G$4))</f>
        <v/>
      </c>
      <c r="H7" s="41">
        <f>IF($A7="",0,SUMIFS(Transactions!$E$5:$E$1504,Transactions!$D$5:$D$1504,$A7,Transactions!$L$5:$L$1504,H$4)-SUMIFS(Transactions!$F$5:$F$1504,Transactions!$D$5:$D$1504,$A7,Transactions!$L$5:$L$1504,H$4))</f>
        <v/>
      </c>
      <c r="I7" s="41">
        <f>IF($A7="",0,SUMIFS(Transactions!$E$5:$E$1504,Transactions!$D$5:$D$1504,$A7,Transactions!$L$5:$L$1504,I$4)-SUMIFS(Transactions!$F$5:$F$1504,Transactions!$D$5:$D$1504,$A7,Transactions!$L$5:$L$1504,I$4))</f>
        <v/>
      </c>
      <c r="J7" s="41">
        <f>IF($A7="",0,SUMIFS(Transactions!$E$5:$E$1504,Transactions!$D$5:$D$1504,$A7,Transactions!$L$5:$L$1504,J$4)-SUMIFS(Transactions!$F$5:$F$1504,Transactions!$D$5:$D$1504,$A7,Transactions!$L$5:$L$1504,J$4))</f>
        <v/>
      </c>
      <c r="K7" s="41">
        <f>IF($A7="",0,SUMIFS(Transactions!$E$5:$E$1504,Transactions!$D$5:$D$1504,$A7,Transactions!$L$5:$L$1504,K$4)-SUMIFS(Transactions!$F$5:$F$1504,Transactions!$D$5:$D$1504,$A7,Transactions!$L$5:$L$1504,K$4))</f>
        <v/>
      </c>
      <c r="L7" s="41">
        <f>IF($A7="",0,SUMIFS(Transactions!$E$5:$E$1504,Transactions!$D$5:$D$1504,$A7,Transactions!$L$5:$L$1504,L$4)-SUMIFS(Transactions!$F$5:$F$1504,Transactions!$D$5:$D$1504,$A7,Transactions!$L$5:$L$1504,L$4))</f>
        <v/>
      </c>
      <c r="M7" s="41">
        <f>IF($A7="",0,SUMIFS(Transactions!$E$5:$E$1504,Transactions!$D$5:$D$1504,$A7,Transactions!$L$5:$L$1504,M$4)-SUMIFS(Transactions!$F$5:$F$1504,Transactions!$D$5:$D$1504,$A7,Transactions!$L$5:$L$1504,M$4))</f>
        <v/>
      </c>
      <c r="N7" s="19">
        <f>SUM(B7:M7)</f>
        <v/>
      </c>
    </row>
    <row r="8">
      <c r="A8" s="40">
        <f>IF(Setup!$A$26="","",Setup!$A$26)</f>
        <v/>
      </c>
      <c r="B8" s="41">
        <f>IF($A8="",0,SUMIFS(Transactions!$E$5:$E$1504,Transactions!$D$5:$D$1504,$A8,Transactions!$L$5:$L$1504,B$4)-SUMIFS(Transactions!$F$5:$F$1504,Transactions!$D$5:$D$1504,$A8,Transactions!$L$5:$L$1504,B$4))</f>
        <v/>
      </c>
      <c r="C8" s="41">
        <f>IF($A8="",0,SUMIFS(Transactions!$E$5:$E$1504,Transactions!$D$5:$D$1504,$A8,Transactions!$L$5:$L$1504,C$4)-SUMIFS(Transactions!$F$5:$F$1504,Transactions!$D$5:$D$1504,$A8,Transactions!$L$5:$L$1504,C$4))</f>
        <v/>
      </c>
      <c r="D8" s="41">
        <f>IF($A8="",0,SUMIFS(Transactions!$E$5:$E$1504,Transactions!$D$5:$D$1504,$A8,Transactions!$L$5:$L$1504,D$4)-SUMIFS(Transactions!$F$5:$F$1504,Transactions!$D$5:$D$1504,$A8,Transactions!$L$5:$L$1504,D$4))</f>
        <v/>
      </c>
      <c r="E8" s="41">
        <f>IF($A8="",0,SUMIFS(Transactions!$E$5:$E$1504,Transactions!$D$5:$D$1504,$A8,Transactions!$L$5:$L$1504,E$4)-SUMIFS(Transactions!$F$5:$F$1504,Transactions!$D$5:$D$1504,$A8,Transactions!$L$5:$L$1504,E$4))</f>
        <v/>
      </c>
      <c r="F8" s="41">
        <f>IF($A8="",0,SUMIFS(Transactions!$E$5:$E$1504,Transactions!$D$5:$D$1504,$A8,Transactions!$L$5:$L$1504,F$4)-SUMIFS(Transactions!$F$5:$F$1504,Transactions!$D$5:$D$1504,$A8,Transactions!$L$5:$L$1504,F$4))</f>
        <v/>
      </c>
      <c r="G8" s="41">
        <f>IF($A8="",0,SUMIFS(Transactions!$E$5:$E$1504,Transactions!$D$5:$D$1504,$A8,Transactions!$L$5:$L$1504,G$4)-SUMIFS(Transactions!$F$5:$F$1504,Transactions!$D$5:$D$1504,$A8,Transactions!$L$5:$L$1504,G$4))</f>
        <v/>
      </c>
      <c r="H8" s="41">
        <f>IF($A8="",0,SUMIFS(Transactions!$E$5:$E$1504,Transactions!$D$5:$D$1504,$A8,Transactions!$L$5:$L$1504,H$4)-SUMIFS(Transactions!$F$5:$F$1504,Transactions!$D$5:$D$1504,$A8,Transactions!$L$5:$L$1504,H$4))</f>
        <v/>
      </c>
      <c r="I8" s="41">
        <f>IF($A8="",0,SUMIFS(Transactions!$E$5:$E$1504,Transactions!$D$5:$D$1504,$A8,Transactions!$L$5:$L$1504,I$4)-SUMIFS(Transactions!$F$5:$F$1504,Transactions!$D$5:$D$1504,$A8,Transactions!$L$5:$L$1504,I$4))</f>
        <v/>
      </c>
      <c r="J8" s="41">
        <f>IF($A8="",0,SUMIFS(Transactions!$E$5:$E$1504,Transactions!$D$5:$D$1504,$A8,Transactions!$L$5:$L$1504,J$4)-SUMIFS(Transactions!$F$5:$F$1504,Transactions!$D$5:$D$1504,$A8,Transactions!$L$5:$L$1504,J$4))</f>
        <v/>
      </c>
      <c r="K8" s="41">
        <f>IF($A8="",0,SUMIFS(Transactions!$E$5:$E$1504,Transactions!$D$5:$D$1504,$A8,Transactions!$L$5:$L$1504,K$4)-SUMIFS(Transactions!$F$5:$F$1504,Transactions!$D$5:$D$1504,$A8,Transactions!$L$5:$L$1504,K$4))</f>
        <v/>
      </c>
      <c r="L8" s="41">
        <f>IF($A8="",0,SUMIFS(Transactions!$E$5:$E$1504,Transactions!$D$5:$D$1504,$A8,Transactions!$L$5:$L$1504,L$4)-SUMIFS(Transactions!$F$5:$F$1504,Transactions!$D$5:$D$1504,$A8,Transactions!$L$5:$L$1504,L$4))</f>
        <v/>
      </c>
      <c r="M8" s="41">
        <f>IF($A8="",0,SUMIFS(Transactions!$E$5:$E$1504,Transactions!$D$5:$D$1504,$A8,Transactions!$L$5:$L$1504,M$4)-SUMIFS(Transactions!$F$5:$F$1504,Transactions!$D$5:$D$1504,$A8,Transactions!$L$5:$L$1504,M$4))</f>
        <v/>
      </c>
      <c r="N8" s="19">
        <f>SUM(B8:M8)</f>
        <v/>
      </c>
    </row>
    <row r="9">
      <c r="A9" s="40">
        <f>IF(Setup!$A$27="","",Setup!$A$27)</f>
        <v/>
      </c>
      <c r="B9" s="41">
        <f>IF($A9="",0,SUMIFS(Transactions!$E$5:$E$1504,Transactions!$D$5:$D$1504,$A9,Transactions!$L$5:$L$1504,B$4)-SUMIFS(Transactions!$F$5:$F$1504,Transactions!$D$5:$D$1504,$A9,Transactions!$L$5:$L$1504,B$4))</f>
        <v/>
      </c>
      <c r="C9" s="41">
        <f>IF($A9="",0,SUMIFS(Transactions!$E$5:$E$1504,Transactions!$D$5:$D$1504,$A9,Transactions!$L$5:$L$1504,C$4)-SUMIFS(Transactions!$F$5:$F$1504,Transactions!$D$5:$D$1504,$A9,Transactions!$L$5:$L$1504,C$4))</f>
        <v/>
      </c>
      <c r="D9" s="41">
        <f>IF($A9="",0,SUMIFS(Transactions!$E$5:$E$1504,Transactions!$D$5:$D$1504,$A9,Transactions!$L$5:$L$1504,D$4)-SUMIFS(Transactions!$F$5:$F$1504,Transactions!$D$5:$D$1504,$A9,Transactions!$L$5:$L$1504,D$4))</f>
        <v/>
      </c>
      <c r="E9" s="41">
        <f>IF($A9="",0,SUMIFS(Transactions!$E$5:$E$1504,Transactions!$D$5:$D$1504,$A9,Transactions!$L$5:$L$1504,E$4)-SUMIFS(Transactions!$F$5:$F$1504,Transactions!$D$5:$D$1504,$A9,Transactions!$L$5:$L$1504,E$4))</f>
        <v/>
      </c>
      <c r="F9" s="41">
        <f>IF($A9="",0,SUMIFS(Transactions!$E$5:$E$1504,Transactions!$D$5:$D$1504,$A9,Transactions!$L$5:$L$1504,F$4)-SUMIFS(Transactions!$F$5:$F$1504,Transactions!$D$5:$D$1504,$A9,Transactions!$L$5:$L$1504,F$4))</f>
        <v/>
      </c>
      <c r="G9" s="41">
        <f>IF($A9="",0,SUMIFS(Transactions!$E$5:$E$1504,Transactions!$D$5:$D$1504,$A9,Transactions!$L$5:$L$1504,G$4)-SUMIFS(Transactions!$F$5:$F$1504,Transactions!$D$5:$D$1504,$A9,Transactions!$L$5:$L$1504,G$4))</f>
        <v/>
      </c>
      <c r="H9" s="41">
        <f>IF($A9="",0,SUMIFS(Transactions!$E$5:$E$1504,Transactions!$D$5:$D$1504,$A9,Transactions!$L$5:$L$1504,H$4)-SUMIFS(Transactions!$F$5:$F$1504,Transactions!$D$5:$D$1504,$A9,Transactions!$L$5:$L$1504,H$4))</f>
        <v/>
      </c>
      <c r="I9" s="41">
        <f>IF($A9="",0,SUMIFS(Transactions!$E$5:$E$1504,Transactions!$D$5:$D$1504,$A9,Transactions!$L$5:$L$1504,I$4)-SUMIFS(Transactions!$F$5:$F$1504,Transactions!$D$5:$D$1504,$A9,Transactions!$L$5:$L$1504,I$4))</f>
        <v/>
      </c>
      <c r="J9" s="41">
        <f>IF($A9="",0,SUMIFS(Transactions!$E$5:$E$1504,Transactions!$D$5:$D$1504,$A9,Transactions!$L$5:$L$1504,J$4)-SUMIFS(Transactions!$F$5:$F$1504,Transactions!$D$5:$D$1504,$A9,Transactions!$L$5:$L$1504,J$4))</f>
        <v/>
      </c>
      <c r="K9" s="41">
        <f>IF($A9="",0,SUMIFS(Transactions!$E$5:$E$1504,Transactions!$D$5:$D$1504,$A9,Transactions!$L$5:$L$1504,K$4)-SUMIFS(Transactions!$F$5:$F$1504,Transactions!$D$5:$D$1504,$A9,Transactions!$L$5:$L$1504,K$4))</f>
        <v/>
      </c>
      <c r="L9" s="41">
        <f>IF($A9="",0,SUMIFS(Transactions!$E$5:$E$1504,Transactions!$D$5:$D$1504,$A9,Transactions!$L$5:$L$1504,L$4)-SUMIFS(Transactions!$F$5:$F$1504,Transactions!$D$5:$D$1504,$A9,Transactions!$L$5:$L$1504,L$4))</f>
        <v/>
      </c>
      <c r="M9" s="41">
        <f>IF($A9="",0,SUMIFS(Transactions!$E$5:$E$1504,Transactions!$D$5:$D$1504,$A9,Transactions!$L$5:$L$1504,M$4)-SUMIFS(Transactions!$F$5:$F$1504,Transactions!$D$5:$D$1504,$A9,Transactions!$L$5:$L$1504,M$4))</f>
        <v/>
      </c>
      <c r="N9" s="19">
        <f>SUM(B9:M9)</f>
        <v/>
      </c>
    </row>
    <row r="10">
      <c r="A10" s="40">
        <f>IF(Setup!$A$28="","",Setup!$A$28)</f>
        <v/>
      </c>
      <c r="B10" s="41">
        <f>IF($A10="",0,SUMIFS(Transactions!$E$5:$E$1504,Transactions!$D$5:$D$1504,$A10,Transactions!$L$5:$L$1504,B$4)-SUMIFS(Transactions!$F$5:$F$1504,Transactions!$D$5:$D$1504,$A10,Transactions!$L$5:$L$1504,B$4))</f>
        <v/>
      </c>
      <c r="C10" s="41">
        <f>IF($A10="",0,SUMIFS(Transactions!$E$5:$E$1504,Transactions!$D$5:$D$1504,$A10,Transactions!$L$5:$L$1504,C$4)-SUMIFS(Transactions!$F$5:$F$1504,Transactions!$D$5:$D$1504,$A10,Transactions!$L$5:$L$1504,C$4))</f>
        <v/>
      </c>
      <c r="D10" s="41">
        <f>IF($A10="",0,SUMIFS(Transactions!$E$5:$E$1504,Transactions!$D$5:$D$1504,$A10,Transactions!$L$5:$L$1504,D$4)-SUMIFS(Transactions!$F$5:$F$1504,Transactions!$D$5:$D$1504,$A10,Transactions!$L$5:$L$1504,D$4))</f>
        <v/>
      </c>
      <c r="E10" s="41">
        <f>IF($A10="",0,SUMIFS(Transactions!$E$5:$E$1504,Transactions!$D$5:$D$1504,$A10,Transactions!$L$5:$L$1504,E$4)-SUMIFS(Transactions!$F$5:$F$1504,Transactions!$D$5:$D$1504,$A10,Transactions!$L$5:$L$1504,E$4))</f>
        <v/>
      </c>
      <c r="F10" s="41">
        <f>IF($A10="",0,SUMIFS(Transactions!$E$5:$E$1504,Transactions!$D$5:$D$1504,$A10,Transactions!$L$5:$L$1504,F$4)-SUMIFS(Transactions!$F$5:$F$1504,Transactions!$D$5:$D$1504,$A10,Transactions!$L$5:$L$1504,F$4))</f>
        <v/>
      </c>
      <c r="G10" s="41">
        <f>IF($A10="",0,SUMIFS(Transactions!$E$5:$E$1504,Transactions!$D$5:$D$1504,$A10,Transactions!$L$5:$L$1504,G$4)-SUMIFS(Transactions!$F$5:$F$1504,Transactions!$D$5:$D$1504,$A10,Transactions!$L$5:$L$1504,G$4))</f>
        <v/>
      </c>
      <c r="H10" s="41">
        <f>IF($A10="",0,SUMIFS(Transactions!$E$5:$E$1504,Transactions!$D$5:$D$1504,$A10,Transactions!$L$5:$L$1504,H$4)-SUMIFS(Transactions!$F$5:$F$1504,Transactions!$D$5:$D$1504,$A10,Transactions!$L$5:$L$1504,H$4))</f>
        <v/>
      </c>
      <c r="I10" s="41">
        <f>IF($A10="",0,SUMIFS(Transactions!$E$5:$E$1504,Transactions!$D$5:$D$1504,$A10,Transactions!$L$5:$L$1504,I$4)-SUMIFS(Transactions!$F$5:$F$1504,Transactions!$D$5:$D$1504,$A10,Transactions!$L$5:$L$1504,I$4))</f>
        <v/>
      </c>
      <c r="J10" s="41">
        <f>IF($A10="",0,SUMIFS(Transactions!$E$5:$E$1504,Transactions!$D$5:$D$1504,$A10,Transactions!$L$5:$L$1504,J$4)-SUMIFS(Transactions!$F$5:$F$1504,Transactions!$D$5:$D$1504,$A10,Transactions!$L$5:$L$1504,J$4))</f>
        <v/>
      </c>
      <c r="K10" s="41">
        <f>IF($A10="",0,SUMIFS(Transactions!$E$5:$E$1504,Transactions!$D$5:$D$1504,$A10,Transactions!$L$5:$L$1504,K$4)-SUMIFS(Transactions!$F$5:$F$1504,Transactions!$D$5:$D$1504,$A10,Transactions!$L$5:$L$1504,K$4))</f>
        <v/>
      </c>
      <c r="L10" s="41">
        <f>IF($A10="",0,SUMIFS(Transactions!$E$5:$E$1504,Transactions!$D$5:$D$1504,$A10,Transactions!$L$5:$L$1504,L$4)-SUMIFS(Transactions!$F$5:$F$1504,Transactions!$D$5:$D$1504,$A10,Transactions!$L$5:$L$1504,L$4))</f>
        <v/>
      </c>
      <c r="M10" s="41">
        <f>IF($A10="",0,SUMIFS(Transactions!$E$5:$E$1504,Transactions!$D$5:$D$1504,$A10,Transactions!$L$5:$L$1504,M$4)-SUMIFS(Transactions!$F$5:$F$1504,Transactions!$D$5:$D$1504,$A10,Transactions!$L$5:$L$1504,M$4))</f>
        <v/>
      </c>
      <c r="N10" s="19">
        <f>SUM(B10:M10)</f>
        <v/>
      </c>
    </row>
    <row r="11">
      <c r="A11" s="5" t="inlineStr">
        <is>
          <t>Total revenue</t>
        </is>
      </c>
      <c r="B11" s="42">
        <f>SUM(B6:B10)</f>
        <v/>
      </c>
      <c r="C11" s="42">
        <f>SUM(C6:C10)</f>
        <v/>
      </c>
      <c r="D11" s="42">
        <f>SUM(D6:D10)</f>
        <v/>
      </c>
      <c r="E11" s="42">
        <f>SUM(E6:E10)</f>
        <v/>
      </c>
      <c r="F11" s="42">
        <f>SUM(F6:F10)</f>
        <v/>
      </c>
      <c r="G11" s="42">
        <f>SUM(G6:G10)</f>
        <v/>
      </c>
      <c r="H11" s="42">
        <f>SUM(H6:H10)</f>
        <v/>
      </c>
      <c r="I11" s="42">
        <f>SUM(I6:I10)</f>
        <v/>
      </c>
      <c r="J11" s="42">
        <f>SUM(J6:J10)</f>
        <v/>
      </c>
      <c r="K11" s="42">
        <f>SUM(K6:K10)</f>
        <v/>
      </c>
      <c r="L11" s="42">
        <f>SUM(L6:L10)</f>
        <v/>
      </c>
      <c r="M11" s="42">
        <f>SUM(M6:M10)</f>
        <v/>
      </c>
      <c r="N11" s="42">
        <f>SUM(N6:N10)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38" t="inlineStr">
        <is>
          <t>DIRECT COSTS (cost of delivering the service)</t>
        </is>
      </c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</row>
    <row r="14">
      <c r="A14" s="40">
        <f>IF(Setup!$A$29="","",Setup!$A$29)</f>
        <v/>
      </c>
      <c r="B14" s="41">
        <f>IF($A14="",0,SUMIFS(Transactions!$F$5:$F$1504,Transactions!$D$5:$D$1504,$A14,Transactions!$L$5:$L$1504,B$4)-SUMIFS(Transactions!$E$5:$E$1504,Transactions!$D$5:$D$1504,$A14,Transactions!$L$5:$L$1504,B$4))</f>
        <v/>
      </c>
      <c r="C14" s="41">
        <f>IF($A14="",0,SUMIFS(Transactions!$F$5:$F$1504,Transactions!$D$5:$D$1504,$A14,Transactions!$L$5:$L$1504,C$4)-SUMIFS(Transactions!$E$5:$E$1504,Transactions!$D$5:$D$1504,$A14,Transactions!$L$5:$L$1504,C$4))</f>
        <v/>
      </c>
      <c r="D14" s="41">
        <f>IF($A14="",0,SUMIFS(Transactions!$F$5:$F$1504,Transactions!$D$5:$D$1504,$A14,Transactions!$L$5:$L$1504,D$4)-SUMIFS(Transactions!$E$5:$E$1504,Transactions!$D$5:$D$1504,$A14,Transactions!$L$5:$L$1504,D$4))</f>
        <v/>
      </c>
      <c r="E14" s="41">
        <f>IF($A14="",0,SUMIFS(Transactions!$F$5:$F$1504,Transactions!$D$5:$D$1504,$A14,Transactions!$L$5:$L$1504,E$4)-SUMIFS(Transactions!$E$5:$E$1504,Transactions!$D$5:$D$1504,$A14,Transactions!$L$5:$L$1504,E$4))</f>
        <v/>
      </c>
      <c r="F14" s="41">
        <f>IF($A14="",0,SUMIFS(Transactions!$F$5:$F$1504,Transactions!$D$5:$D$1504,$A14,Transactions!$L$5:$L$1504,F$4)-SUMIFS(Transactions!$E$5:$E$1504,Transactions!$D$5:$D$1504,$A14,Transactions!$L$5:$L$1504,F$4))</f>
        <v/>
      </c>
      <c r="G14" s="41">
        <f>IF($A14="",0,SUMIFS(Transactions!$F$5:$F$1504,Transactions!$D$5:$D$1504,$A14,Transactions!$L$5:$L$1504,G$4)-SUMIFS(Transactions!$E$5:$E$1504,Transactions!$D$5:$D$1504,$A14,Transactions!$L$5:$L$1504,G$4))</f>
        <v/>
      </c>
      <c r="H14" s="41">
        <f>IF($A14="",0,SUMIFS(Transactions!$F$5:$F$1504,Transactions!$D$5:$D$1504,$A14,Transactions!$L$5:$L$1504,H$4)-SUMIFS(Transactions!$E$5:$E$1504,Transactions!$D$5:$D$1504,$A14,Transactions!$L$5:$L$1504,H$4))</f>
        <v/>
      </c>
      <c r="I14" s="41">
        <f>IF($A14="",0,SUMIFS(Transactions!$F$5:$F$1504,Transactions!$D$5:$D$1504,$A14,Transactions!$L$5:$L$1504,I$4)-SUMIFS(Transactions!$E$5:$E$1504,Transactions!$D$5:$D$1504,$A14,Transactions!$L$5:$L$1504,I$4))</f>
        <v/>
      </c>
      <c r="J14" s="41">
        <f>IF($A14="",0,SUMIFS(Transactions!$F$5:$F$1504,Transactions!$D$5:$D$1504,$A14,Transactions!$L$5:$L$1504,J$4)-SUMIFS(Transactions!$E$5:$E$1504,Transactions!$D$5:$D$1504,$A14,Transactions!$L$5:$L$1504,J$4))</f>
        <v/>
      </c>
      <c r="K14" s="41">
        <f>IF($A14="",0,SUMIFS(Transactions!$F$5:$F$1504,Transactions!$D$5:$D$1504,$A14,Transactions!$L$5:$L$1504,K$4)-SUMIFS(Transactions!$E$5:$E$1504,Transactions!$D$5:$D$1504,$A14,Transactions!$L$5:$L$1504,K$4))</f>
        <v/>
      </c>
      <c r="L14" s="41">
        <f>IF($A14="",0,SUMIFS(Transactions!$F$5:$F$1504,Transactions!$D$5:$D$1504,$A14,Transactions!$L$5:$L$1504,L$4)-SUMIFS(Transactions!$E$5:$E$1504,Transactions!$D$5:$D$1504,$A14,Transactions!$L$5:$L$1504,L$4))</f>
        <v/>
      </c>
      <c r="M14" s="41">
        <f>IF($A14="",0,SUMIFS(Transactions!$F$5:$F$1504,Transactions!$D$5:$D$1504,$A14,Transactions!$L$5:$L$1504,M$4)-SUMIFS(Transactions!$E$5:$E$1504,Transactions!$D$5:$D$1504,$A14,Transactions!$L$5:$L$1504,M$4))</f>
        <v/>
      </c>
      <c r="N14" s="19">
        <f>SUM(B14:M14)</f>
        <v/>
      </c>
    </row>
    <row r="15">
      <c r="A15" s="40">
        <f>IF(Setup!$A$30="","",Setup!$A$30)</f>
        <v/>
      </c>
      <c r="B15" s="41">
        <f>IF($A15="",0,SUMIFS(Transactions!$F$5:$F$1504,Transactions!$D$5:$D$1504,$A15,Transactions!$L$5:$L$1504,B$4)-SUMIFS(Transactions!$E$5:$E$1504,Transactions!$D$5:$D$1504,$A15,Transactions!$L$5:$L$1504,B$4))</f>
        <v/>
      </c>
      <c r="C15" s="41">
        <f>IF($A15="",0,SUMIFS(Transactions!$F$5:$F$1504,Transactions!$D$5:$D$1504,$A15,Transactions!$L$5:$L$1504,C$4)-SUMIFS(Transactions!$E$5:$E$1504,Transactions!$D$5:$D$1504,$A15,Transactions!$L$5:$L$1504,C$4))</f>
        <v/>
      </c>
      <c r="D15" s="41">
        <f>IF($A15="",0,SUMIFS(Transactions!$F$5:$F$1504,Transactions!$D$5:$D$1504,$A15,Transactions!$L$5:$L$1504,D$4)-SUMIFS(Transactions!$E$5:$E$1504,Transactions!$D$5:$D$1504,$A15,Transactions!$L$5:$L$1504,D$4))</f>
        <v/>
      </c>
      <c r="E15" s="41">
        <f>IF($A15="",0,SUMIFS(Transactions!$F$5:$F$1504,Transactions!$D$5:$D$1504,$A15,Transactions!$L$5:$L$1504,E$4)-SUMIFS(Transactions!$E$5:$E$1504,Transactions!$D$5:$D$1504,$A15,Transactions!$L$5:$L$1504,E$4))</f>
        <v/>
      </c>
      <c r="F15" s="41">
        <f>IF($A15="",0,SUMIFS(Transactions!$F$5:$F$1504,Transactions!$D$5:$D$1504,$A15,Transactions!$L$5:$L$1504,F$4)-SUMIFS(Transactions!$E$5:$E$1504,Transactions!$D$5:$D$1504,$A15,Transactions!$L$5:$L$1504,F$4))</f>
        <v/>
      </c>
      <c r="G15" s="41">
        <f>IF($A15="",0,SUMIFS(Transactions!$F$5:$F$1504,Transactions!$D$5:$D$1504,$A15,Transactions!$L$5:$L$1504,G$4)-SUMIFS(Transactions!$E$5:$E$1504,Transactions!$D$5:$D$1504,$A15,Transactions!$L$5:$L$1504,G$4))</f>
        <v/>
      </c>
      <c r="H15" s="41">
        <f>IF($A15="",0,SUMIFS(Transactions!$F$5:$F$1504,Transactions!$D$5:$D$1504,$A15,Transactions!$L$5:$L$1504,H$4)-SUMIFS(Transactions!$E$5:$E$1504,Transactions!$D$5:$D$1504,$A15,Transactions!$L$5:$L$1504,H$4))</f>
        <v/>
      </c>
      <c r="I15" s="41">
        <f>IF($A15="",0,SUMIFS(Transactions!$F$5:$F$1504,Transactions!$D$5:$D$1504,$A15,Transactions!$L$5:$L$1504,I$4)-SUMIFS(Transactions!$E$5:$E$1504,Transactions!$D$5:$D$1504,$A15,Transactions!$L$5:$L$1504,I$4))</f>
        <v/>
      </c>
      <c r="J15" s="41">
        <f>IF($A15="",0,SUMIFS(Transactions!$F$5:$F$1504,Transactions!$D$5:$D$1504,$A15,Transactions!$L$5:$L$1504,J$4)-SUMIFS(Transactions!$E$5:$E$1504,Transactions!$D$5:$D$1504,$A15,Transactions!$L$5:$L$1504,J$4))</f>
        <v/>
      </c>
      <c r="K15" s="41">
        <f>IF($A15="",0,SUMIFS(Transactions!$F$5:$F$1504,Transactions!$D$5:$D$1504,$A15,Transactions!$L$5:$L$1504,K$4)-SUMIFS(Transactions!$E$5:$E$1504,Transactions!$D$5:$D$1504,$A15,Transactions!$L$5:$L$1504,K$4))</f>
        <v/>
      </c>
      <c r="L15" s="41">
        <f>IF($A15="",0,SUMIFS(Transactions!$F$5:$F$1504,Transactions!$D$5:$D$1504,$A15,Transactions!$L$5:$L$1504,L$4)-SUMIFS(Transactions!$E$5:$E$1504,Transactions!$D$5:$D$1504,$A15,Transactions!$L$5:$L$1504,L$4))</f>
        <v/>
      </c>
      <c r="M15" s="41">
        <f>IF($A15="",0,SUMIFS(Transactions!$F$5:$F$1504,Transactions!$D$5:$D$1504,$A15,Transactions!$L$5:$L$1504,M$4)-SUMIFS(Transactions!$E$5:$E$1504,Transactions!$D$5:$D$1504,$A15,Transactions!$L$5:$L$1504,M$4))</f>
        <v/>
      </c>
      <c r="N15" s="19">
        <f>SUM(B15:M15)</f>
        <v/>
      </c>
    </row>
    <row r="16">
      <c r="A16" s="40">
        <f>IF(Setup!$A$31="","",Setup!$A$31)</f>
        <v/>
      </c>
      <c r="B16" s="41">
        <f>IF($A16="",0,SUMIFS(Transactions!$F$5:$F$1504,Transactions!$D$5:$D$1504,$A16,Transactions!$L$5:$L$1504,B$4)-SUMIFS(Transactions!$E$5:$E$1504,Transactions!$D$5:$D$1504,$A16,Transactions!$L$5:$L$1504,B$4))</f>
        <v/>
      </c>
      <c r="C16" s="41">
        <f>IF($A16="",0,SUMIFS(Transactions!$F$5:$F$1504,Transactions!$D$5:$D$1504,$A16,Transactions!$L$5:$L$1504,C$4)-SUMIFS(Transactions!$E$5:$E$1504,Transactions!$D$5:$D$1504,$A16,Transactions!$L$5:$L$1504,C$4))</f>
        <v/>
      </c>
      <c r="D16" s="41">
        <f>IF($A16="",0,SUMIFS(Transactions!$F$5:$F$1504,Transactions!$D$5:$D$1504,$A16,Transactions!$L$5:$L$1504,D$4)-SUMIFS(Transactions!$E$5:$E$1504,Transactions!$D$5:$D$1504,$A16,Transactions!$L$5:$L$1504,D$4))</f>
        <v/>
      </c>
      <c r="E16" s="41">
        <f>IF($A16="",0,SUMIFS(Transactions!$F$5:$F$1504,Transactions!$D$5:$D$1504,$A16,Transactions!$L$5:$L$1504,E$4)-SUMIFS(Transactions!$E$5:$E$1504,Transactions!$D$5:$D$1504,$A16,Transactions!$L$5:$L$1504,E$4))</f>
        <v/>
      </c>
      <c r="F16" s="41">
        <f>IF($A16="",0,SUMIFS(Transactions!$F$5:$F$1504,Transactions!$D$5:$D$1504,$A16,Transactions!$L$5:$L$1504,F$4)-SUMIFS(Transactions!$E$5:$E$1504,Transactions!$D$5:$D$1504,$A16,Transactions!$L$5:$L$1504,F$4))</f>
        <v/>
      </c>
      <c r="G16" s="41">
        <f>IF($A16="",0,SUMIFS(Transactions!$F$5:$F$1504,Transactions!$D$5:$D$1504,$A16,Transactions!$L$5:$L$1504,G$4)-SUMIFS(Transactions!$E$5:$E$1504,Transactions!$D$5:$D$1504,$A16,Transactions!$L$5:$L$1504,G$4))</f>
        <v/>
      </c>
      <c r="H16" s="41">
        <f>IF($A16="",0,SUMIFS(Transactions!$F$5:$F$1504,Transactions!$D$5:$D$1504,$A16,Transactions!$L$5:$L$1504,H$4)-SUMIFS(Transactions!$E$5:$E$1504,Transactions!$D$5:$D$1504,$A16,Transactions!$L$5:$L$1504,H$4))</f>
        <v/>
      </c>
      <c r="I16" s="41">
        <f>IF($A16="",0,SUMIFS(Transactions!$F$5:$F$1504,Transactions!$D$5:$D$1504,$A16,Transactions!$L$5:$L$1504,I$4)-SUMIFS(Transactions!$E$5:$E$1504,Transactions!$D$5:$D$1504,$A16,Transactions!$L$5:$L$1504,I$4))</f>
        <v/>
      </c>
      <c r="J16" s="41">
        <f>IF($A16="",0,SUMIFS(Transactions!$F$5:$F$1504,Transactions!$D$5:$D$1504,$A16,Transactions!$L$5:$L$1504,J$4)-SUMIFS(Transactions!$E$5:$E$1504,Transactions!$D$5:$D$1504,$A16,Transactions!$L$5:$L$1504,J$4))</f>
        <v/>
      </c>
      <c r="K16" s="41">
        <f>IF($A16="",0,SUMIFS(Transactions!$F$5:$F$1504,Transactions!$D$5:$D$1504,$A16,Transactions!$L$5:$L$1504,K$4)-SUMIFS(Transactions!$E$5:$E$1504,Transactions!$D$5:$D$1504,$A16,Transactions!$L$5:$L$1504,K$4))</f>
        <v/>
      </c>
      <c r="L16" s="41">
        <f>IF($A16="",0,SUMIFS(Transactions!$F$5:$F$1504,Transactions!$D$5:$D$1504,$A16,Transactions!$L$5:$L$1504,L$4)-SUMIFS(Transactions!$E$5:$E$1504,Transactions!$D$5:$D$1504,$A16,Transactions!$L$5:$L$1504,L$4))</f>
        <v/>
      </c>
      <c r="M16" s="41">
        <f>IF($A16="",0,SUMIFS(Transactions!$F$5:$F$1504,Transactions!$D$5:$D$1504,$A16,Transactions!$L$5:$L$1504,M$4)-SUMIFS(Transactions!$E$5:$E$1504,Transactions!$D$5:$D$1504,$A16,Transactions!$L$5:$L$1504,M$4))</f>
        <v/>
      </c>
      <c r="N16" s="19">
        <f>SUM(B16:M16)</f>
        <v/>
      </c>
    </row>
    <row r="17">
      <c r="A17" s="40">
        <f>IF(Setup!$A$32="","",Setup!$A$32)</f>
        <v/>
      </c>
      <c r="B17" s="41">
        <f>IF($A17="",0,SUMIFS(Transactions!$F$5:$F$1504,Transactions!$D$5:$D$1504,$A17,Transactions!$L$5:$L$1504,B$4)-SUMIFS(Transactions!$E$5:$E$1504,Transactions!$D$5:$D$1504,$A17,Transactions!$L$5:$L$1504,B$4))</f>
        <v/>
      </c>
      <c r="C17" s="41">
        <f>IF($A17="",0,SUMIFS(Transactions!$F$5:$F$1504,Transactions!$D$5:$D$1504,$A17,Transactions!$L$5:$L$1504,C$4)-SUMIFS(Transactions!$E$5:$E$1504,Transactions!$D$5:$D$1504,$A17,Transactions!$L$5:$L$1504,C$4))</f>
        <v/>
      </c>
      <c r="D17" s="41">
        <f>IF($A17="",0,SUMIFS(Transactions!$F$5:$F$1504,Transactions!$D$5:$D$1504,$A17,Transactions!$L$5:$L$1504,D$4)-SUMIFS(Transactions!$E$5:$E$1504,Transactions!$D$5:$D$1504,$A17,Transactions!$L$5:$L$1504,D$4))</f>
        <v/>
      </c>
      <c r="E17" s="41">
        <f>IF($A17="",0,SUMIFS(Transactions!$F$5:$F$1504,Transactions!$D$5:$D$1504,$A17,Transactions!$L$5:$L$1504,E$4)-SUMIFS(Transactions!$E$5:$E$1504,Transactions!$D$5:$D$1504,$A17,Transactions!$L$5:$L$1504,E$4))</f>
        <v/>
      </c>
      <c r="F17" s="41">
        <f>IF($A17="",0,SUMIFS(Transactions!$F$5:$F$1504,Transactions!$D$5:$D$1504,$A17,Transactions!$L$5:$L$1504,F$4)-SUMIFS(Transactions!$E$5:$E$1504,Transactions!$D$5:$D$1504,$A17,Transactions!$L$5:$L$1504,F$4))</f>
        <v/>
      </c>
      <c r="G17" s="41">
        <f>IF($A17="",0,SUMIFS(Transactions!$F$5:$F$1504,Transactions!$D$5:$D$1504,$A17,Transactions!$L$5:$L$1504,G$4)-SUMIFS(Transactions!$E$5:$E$1504,Transactions!$D$5:$D$1504,$A17,Transactions!$L$5:$L$1504,G$4))</f>
        <v/>
      </c>
      <c r="H17" s="41">
        <f>IF($A17="",0,SUMIFS(Transactions!$F$5:$F$1504,Transactions!$D$5:$D$1504,$A17,Transactions!$L$5:$L$1504,H$4)-SUMIFS(Transactions!$E$5:$E$1504,Transactions!$D$5:$D$1504,$A17,Transactions!$L$5:$L$1504,H$4))</f>
        <v/>
      </c>
      <c r="I17" s="41">
        <f>IF($A17="",0,SUMIFS(Transactions!$F$5:$F$1504,Transactions!$D$5:$D$1504,$A17,Transactions!$L$5:$L$1504,I$4)-SUMIFS(Transactions!$E$5:$E$1504,Transactions!$D$5:$D$1504,$A17,Transactions!$L$5:$L$1504,I$4))</f>
        <v/>
      </c>
      <c r="J17" s="41">
        <f>IF($A17="",0,SUMIFS(Transactions!$F$5:$F$1504,Transactions!$D$5:$D$1504,$A17,Transactions!$L$5:$L$1504,J$4)-SUMIFS(Transactions!$E$5:$E$1504,Transactions!$D$5:$D$1504,$A17,Transactions!$L$5:$L$1504,J$4))</f>
        <v/>
      </c>
      <c r="K17" s="41">
        <f>IF($A17="",0,SUMIFS(Transactions!$F$5:$F$1504,Transactions!$D$5:$D$1504,$A17,Transactions!$L$5:$L$1504,K$4)-SUMIFS(Transactions!$E$5:$E$1504,Transactions!$D$5:$D$1504,$A17,Transactions!$L$5:$L$1504,K$4))</f>
        <v/>
      </c>
      <c r="L17" s="41">
        <f>IF($A17="",0,SUMIFS(Transactions!$F$5:$F$1504,Transactions!$D$5:$D$1504,$A17,Transactions!$L$5:$L$1504,L$4)-SUMIFS(Transactions!$E$5:$E$1504,Transactions!$D$5:$D$1504,$A17,Transactions!$L$5:$L$1504,L$4))</f>
        <v/>
      </c>
      <c r="M17" s="41">
        <f>IF($A17="",0,SUMIFS(Transactions!$F$5:$F$1504,Transactions!$D$5:$D$1504,$A17,Transactions!$L$5:$L$1504,M$4)-SUMIFS(Transactions!$E$5:$E$1504,Transactions!$D$5:$D$1504,$A17,Transactions!$L$5:$L$1504,M$4))</f>
        <v/>
      </c>
      <c r="N17" s="19">
        <f>SUM(B17:M17)</f>
        <v/>
      </c>
    </row>
    <row r="18">
      <c r="A18" s="40">
        <f>IF(Setup!$A$33="","",Setup!$A$33)</f>
        <v/>
      </c>
      <c r="B18" s="41">
        <f>IF($A18="",0,SUMIFS(Transactions!$F$5:$F$1504,Transactions!$D$5:$D$1504,$A18,Transactions!$L$5:$L$1504,B$4)-SUMIFS(Transactions!$E$5:$E$1504,Transactions!$D$5:$D$1504,$A18,Transactions!$L$5:$L$1504,B$4))</f>
        <v/>
      </c>
      <c r="C18" s="41">
        <f>IF($A18="",0,SUMIFS(Transactions!$F$5:$F$1504,Transactions!$D$5:$D$1504,$A18,Transactions!$L$5:$L$1504,C$4)-SUMIFS(Transactions!$E$5:$E$1504,Transactions!$D$5:$D$1504,$A18,Transactions!$L$5:$L$1504,C$4))</f>
        <v/>
      </c>
      <c r="D18" s="41">
        <f>IF($A18="",0,SUMIFS(Transactions!$F$5:$F$1504,Transactions!$D$5:$D$1504,$A18,Transactions!$L$5:$L$1504,D$4)-SUMIFS(Transactions!$E$5:$E$1504,Transactions!$D$5:$D$1504,$A18,Transactions!$L$5:$L$1504,D$4))</f>
        <v/>
      </c>
      <c r="E18" s="41">
        <f>IF($A18="",0,SUMIFS(Transactions!$F$5:$F$1504,Transactions!$D$5:$D$1504,$A18,Transactions!$L$5:$L$1504,E$4)-SUMIFS(Transactions!$E$5:$E$1504,Transactions!$D$5:$D$1504,$A18,Transactions!$L$5:$L$1504,E$4))</f>
        <v/>
      </c>
      <c r="F18" s="41">
        <f>IF($A18="",0,SUMIFS(Transactions!$F$5:$F$1504,Transactions!$D$5:$D$1504,$A18,Transactions!$L$5:$L$1504,F$4)-SUMIFS(Transactions!$E$5:$E$1504,Transactions!$D$5:$D$1504,$A18,Transactions!$L$5:$L$1504,F$4))</f>
        <v/>
      </c>
      <c r="G18" s="41">
        <f>IF($A18="",0,SUMIFS(Transactions!$F$5:$F$1504,Transactions!$D$5:$D$1504,$A18,Transactions!$L$5:$L$1504,G$4)-SUMIFS(Transactions!$E$5:$E$1504,Transactions!$D$5:$D$1504,$A18,Transactions!$L$5:$L$1504,G$4))</f>
        <v/>
      </c>
      <c r="H18" s="41">
        <f>IF($A18="",0,SUMIFS(Transactions!$F$5:$F$1504,Transactions!$D$5:$D$1504,$A18,Transactions!$L$5:$L$1504,H$4)-SUMIFS(Transactions!$E$5:$E$1504,Transactions!$D$5:$D$1504,$A18,Transactions!$L$5:$L$1504,H$4))</f>
        <v/>
      </c>
      <c r="I18" s="41">
        <f>IF($A18="",0,SUMIFS(Transactions!$F$5:$F$1504,Transactions!$D$5:$D$1504,$A18,Transactions!$L$5:$L$1504,I$4)-SUMIFS(Transactions!$E$5:$E$1504,Transactions!$D$5:$D$1504,$A18,Transactions!$L$5:$L$1504,I$4))</f>
        <v/>
      </c>
      <c r="J18" s="41">
        <f>IF($A18="",0,SUMIFS(Transactions!$F$5:$F$1504,Transactions!$D$5:$D$1504,$A18,Transactions!$L$5:$L$1504,J$4)-SUMIFS(Transactions!$E$5:$E$1504,Transactions!$D$5:$D$1504,$A18,Transactions!$L$5:$L$1504,J$4))</f>
        <v/>
      </c>
      <c r="K18" s="41">
        <f>IF($A18="",0,SUMIFS(Transactions!$F$5:$F$1504,Transactions!$D$5:$D$1504,$A18,Transactions!$L$5:$L$1504,K$4)-SUMIFS(Transactions!$E$5:$E$1504,Transactions!$D$5:$D$1504,$A18,Transactions!$L$5:$L$1504,K$4))</f>
        <v/>
      </c>
      <c r="L18" s="41">
        <f>IF($A18="",0,SUMIFS(Transactions!$F$5:$F$1504,Transactions!$D$5:$D$1504,$A18,Transactions!$L$5:$L$1504,L$4)-SUMIFS(Transactions!$E$5:$E$1504,Transactions!$D$5:$D$1504,$A18,Transactions!$L$5:$L$1504,L$4))</f>
        <v/>
      </c>
      <c r="M18" s="41">
        <f>IF($A18="",0,SUMIFS(Transactions!$F$5:$F$1504,Transactions!$D$5:$D$1504,$A18,Transactions!$L$5:$L$1504,M$4)-SUMIFS(Transactions!$E$5:$E$1504,Transactions!$D$5:$D$1504,$A18,Transactions!$L$5:$L$1504,M$4))</f>
        <v/>
      </c>
      <c r="N18" s="19">
        <f>SUM(B18:M18)</f>
        <v/>
      </c>
    </row>
    <row r="19">
      <c r="A19" s="5" t="inlineStr">
        <is>
          <t>Total direct costs</t>
        </is>
      </c>
      <c r="B19" s="42">
        <f>SUM(B14:B18)</f>
        <v/>
      </c>
      <c r="C19" s="42">
        <f>SUM(C14:C18)</f>
        <v/>
      </c>
      <c r="D19" s="42">
        <f>SUM(D14:D18)</f>
        <v/>
      </c>
      <c r="E19" s="42">
        <f>SUM(E14:E18)</f>
        <v/>
      </c>
      <c r="F19" s="42">
        <f>SUM(F14:F18)</f>
        <v/>
      </c>
      <c r="G19" s="42">
        <f>SUM(G14:G18)</f>
        <v/>
      </c>
      <c r="H19" s="42">
        <f>SUM(H14:H18)</f>
        <v/>
      </c>
      <c r="I19" s="42">
        <f>SUM(I14:I18)</f>
        <v/>
      </c>
      <c r="J19" s="42">
        <f>SUM(J14:J18)</f>
        <v/>
      </c>
      <c r="K19" s="42">
        <f>SUM(K14:K18)</f>
        <v/>
      </c>
      <c r="L19" s="42">
        <f>SUM(L14:L18)</f>
        <v/>
      </c>
      <c r="M19" s="42">
        <f>SUM(M14:M18)</f>
        <v/>
      </c>
      <c r="N19" s="42">
        <f>SUM(N14:N18)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5" t="inlineStr">
        <is>
          <t>GROSS PROFIT (revenue − direct costs)</t>
        </is>
      </c>
      <c r="B21" s="43">
        <f>B11-B19</f>
        <v/>
      </c>
      <c r="C21" s="43">
        <f>C11-C19</f>
        <v/>
      </c>
      <c r="D21" s="43">
        <f>D11-D19</f>
        <v/>
      </c>
      <c r="E21" s="43">
        <f>E11-E19</f>
        <v/>
      </c>
      <c r="F21" s="43">
        <f>F11-F19</f>
        <v/>
      </c>
      <c r="G21" s="43">
        <f>G11-G19</f>
        <v/>
      </c>
      <c r="H21" s="43">
        <f>H11-H19</f>
        <v/>
      </c>
      <c r="I21" s="43">
        <f>I11-I19</f>
        <v/>
      </c>
      <c r="J21" s="43">
        <f>J11-J19</f>
        <v/>
      </c>
      <c r="K21" s="43">
        <f>K11-K19</f>
        <v/>
      </c>
      <c r="L21" s="43">
        <f>L11-L19</f>
        <v/>
      </c>
      <c r="M21" s="43">
        <f>M11-M19</f>
        <v/>
      </c>
      <c r="N21" s="43">
        <f>N11-N19</f>
        <v/>
      </c>
    </row>
    <row r="22">
      <c r="A22" s="12" t="inlineStr">
        <is>
          <t>Gross margin %</t>
        </is>
      </c>
      <c r="B22" s="44">
        <f>IF(B11=0,0,B21/B11)</f>
        <v/>
      </c>
      <c r="C22" s="44">
        <f>IF(C11=0,0,C21/C11)</f>
        <v/>
      </c>
      <c r="D22" s="44">
        <f>IF(D11=0,0,D21/D11)</f>
        <v/>
      </c>
      <c r="E22" s="44">
        <f>IF(E11=0,0,E21/E11)</f>
        <v/>
      </c>
      <c r="F22" s="44">
        <f>IF(F11=0,0,F21/F11)</f>
        <v/>
      </c>
      <c r="G22" s="44">
        <f>IF(G11=0,0,G21/G11)</f>
        <v/>
      </c>
      <c r="H22" s="44">
        <f>IF(H11=0,0,H21/H11)</f>
        <v/>
      </c>
      <c r="I22" s="44">
        <f>IF(I11=0,0,I21/I11)</f>
        <v/>
      </c>
      <c r="J22" s="44">
        <f>IF(J11=0,0,J21/J11)</f>
        <v/>
      </c>
      <c r="K22" s="44">
        <f>IF(K11=0,0,K21/K11)</f>
        <v/>
      </c>
      <c r="L22" s="44">
        <f>IF(L11=0,0,L21/L11)</f>
        <v/>
      </c>
      <c r="M22" s="44">
        <f>IF(M11=0,0,M21/M11)</f>
        <v/>
      </c>
      <c r="N22" s="44">
        <f>IF(N11=0,0,N21/N11)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38" t="inlineStr">
        <is>
          <t>OPERATING EXPENSES (overheads)</t>
        </is>
      </c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</row>
    <row r="25">
      <c r="A25" s="40">
        <f>IF(Setup!$A$34="","",Setup!$A$34)</f>
        <v/>
      </c>
      <c r="B25" s="41">
        <f>IF($A25="",0,SUMIFS(Transactions!$F$5:$F$1504,Transactions!$D$5:$D$1504,$A25,Transactions!$L$5:$L$1504,B$4)-SUMIFS(Transactions!$E$5:$E$1504,Transactions!$D$5:$D$1504,$A25,Transactions!$L$5:$L$1504,B$4))</f>
        <v/>
      </c>
      <c r="C25" s="41">
        <f>IF($A25="",0,SUMIFS(Transactions!$F$5:$F$1504,Transactions!$D$5:$D$1504,$A25,Transactions!$L$5:$L$1504,C$4)-SUMIFS(Transactions!$E$5:$E$1504,Transactions!$D$5:$D$1504,$A25,Transactions!$L$5:$L$1504,C$4))</f>
        <v/>
      </c>
      <c r="D25" s="41">
        <f>IF($A25="",0,SUMIFS(Transactions!$F$5:$F$1504,Transactions!$D$5:$D$1504,$A25,Transactions!$L$5:$L$1504,D$4)-SUMIFS(Transactions!$E$5:$E$1504,Transactions!$D$5:$D$1504,$A25,Transactions!$L$5:$L$1504,D$4))</f>
        <v/>
      </c>
      <c r="E25" s="41">
        <f>IF($A25="",0,SUMIFS(Transactions!$F$5:$F$1504,Transactions!$D$5:$D$1504,$A25,Transactions!$L$5:$L$1504,E$4)-SUMIFS(Transactions!$E$5:$E$1504,Transactions!$D$5:$D$1504,$A25,Transactions!$L$5:$L$1504,E$4))</f>
        <v/>
      </c>
      <c r="F25" s="41">
        <f>IF($A25="",0,SUMIFS(Transactions!$F$5:$F$1504,Transactions!$D$5:$D$1504,$A25,Transactions!$L$5:$L$1504,F$4)-SUMIFS(Transactions!$E$5:$E$1504,Transactions!$D$5:$D$1504,$A25,Transactions!$L$5:$L$1504,F$4))</f>
        <v/>
      </c>
      <c r="G25" s="41">
        <f>IF($A25="",0,SUMIFS(Transactions!$F$5:$F$1504,Transactions!$D$5:$D$1504,$A25,Transactions!$L$5:$L$1504,G$4)-SUMIFS(Transactions!$E$5:$E$1504,Transactions!$D$5:$D$1504,$A25,Transactions!$L$5:$L$1504,G$4))</f>
        <v/>
      </c>
      <c r="H25" s="41">
        <f>IF($A25="",0,SUMIFS(Transactions!$F$5:$F$1504,Transactions!$D$5:$D$1504,$A25,Transactions!$L$5:$L$1504,H$4)-SUMIFS(Transactions!$E$5:$E$1504,Transactions!$D$5:$D$1504,$A25,Transactions!$L$5:$L$1504,H$4))</f>
        <v/>
      </c>
      <c r="I25" s="41">
        <f>IF($A25="",0,SUMIFS(Transactions!$F$5:$F$1504,Transactions!$D$5:$D$1504,$A25,Transactions!$L$5:$L$1504,I$4)-SUMIFS(Transactions!$E$5:$E$1504,Transactions!$D$5:$D$1504,$A25,Transactions!$L$5:$L$1504,I$4))</f>
        <v/>
      </c>
      <c r="J25" s="41">
        <f>IF($A25="",0,SUMIFS(Transactions!$F$5:$F$1504,Transactions!$D$5:$D$1504,$A25,Transactions!$L$5:$L$1504,J$4)-SUMIFS(Transactions!$E$5:$E$1504,Transactions!$D$5:$D$1504,$A25,Transactions!$L$5:$L$1504,J$4))</f>
        <v/>
      </c>
      <c r="K25" s="41">
        <f>IF($A25="",0,SUMIFS(Transactions!$F$5:$F$1504,Transactions!$D$5:$D$1504,$A25,Transactions!$L$5:$L$1504,K$4)-SUMIFS(Transactions!$E$5:$E$1504,Transactions!$D$5:$D$1504,$A25,Transactions!$L$5:$L$1504,K$4))</f>
        <v/>
      </c>
      <c r="L25" s="41">
        <f>IF($A25="",0,SUMIFS(Transactions!$F$5:$F$1504,Transactions!$D$5:$D$1504,$A25,Transactions!$L$5:$L$1504,L$4)-SUMIFS(Transactions!$E$5:$E$1504,Transactions!$D$5:$D$1504,$A25,Transactions!$L$5:$L$1504,L$4))</f>
        <v/>
      </c>
      <c r="M25" s="41">
        <f>IF($A25="",0,SUMIFS(Transactions!$F$5:$F$1504,Transactions!$D$5:$D$1504,$A25,Transactions!$L$5:$L$1504,M$4)-SUMIFS(Transactions!$E$5:$E$1504,Transactions!$D$5:$D$1504,$A25,Transactions!$L$5:$L$1504,M$4))</f>
        <v/>
      </c>
      <c r="N25" s="19">
        <f>SUM(B25:M25)</f>
        <v/>
      </c>
    </row>
    <row r="26">
      <c r="A26" s="40">
        <f>IF(Setup!$A$35="","",Setup!$A$35)</f>
        <v/>
      </c>
      <c r="B26" s="41">
        <f>IF($A26="",0,SUMIFS(Transactions!$F$5:$F$1504,Transactions!$D$5:$D$1504,$A26,Transactions!$L$5:$L$1504,B$4)-SUMIFS(Transactions!$E$5:$E$1504,Transactions!$D$5:$D$1504,$A26,Transactions!$L$5:$L$1504,B$4))</f>
        <v/>
      </c>
      <c r="C26" s="41">
        <f>IF($A26="",0,SUMIFS(Transactions!$F$5:$F$1504,Transactions!$D$5:$D$1504,$A26,Transactions!$L$5:$L$1504,C$4)-SUMIFS(Transactions!$E$5:$E$1504,Transactions!$D$5:$D$1504,$A26,Transactions!$L$5:$L$1504,C$4))</f>
        <v/>
      </c>
      <c r="D26" s="41">
        <f>IF($A26="",0,SUMIFS(Transactions!$F$5:$F$1504,Transactions!$D$5:$D$1504,$A26,Transactions!$L$5:$L$1504,D$4)-SUMIFS(Transactions!$E$5:$E$1504,Transactions!$D$5:$D$1504,$A26,Transactions!$L$5:$L$1504,D$4))</f>
        <v/>
      </c>
      <c r="E26" s="41">
        <f>IF($A26="",0,SUMIFS(Transactions!$F$5:$F$1504,Transactions!$D$5:$D$1504,$A26,Transactions!$L$5:$L$1504,E$4)-SUMIFS(Transactions!$E$5:$E$1504,Transactions!$D$5:$D$1504,$A26,Transactions!$L$5:$L$1504,E$4))</f>
        <v/>
      </c>
      <c r="F26" s="41">
        <f>IF($A26="",0,SUMIFS(Transactions!$F$5:$F$1504,Transactions!$D$5:$D$1504,$A26,Transactions!$L$5:$L$1504,F$4)-SUMIFS(Transactions!$E$5:$E$1504,Transactions!$D$5:$D$1504,$A26,Transactions!$L$5:$L$1504,F$4))</f>
        <v/>
      </c>
      <c r="G26" s="41">
        <f>IF($A26="",0,SUMIFS(Transactions!$F$5:$F$1504,Transactions!$D$5:$D$1504,$A26,Transactions!$L$5:$L$1504,G$4)-SUMIFS(Transactions!$E$5:$E$1504,Transactions!$D$5:$D$1504,$A26,Transactions!$L$5:$L$1504,G$4))</f>
        <v/>
      </c>
      <c r="H26" s="41">
        <f>IF($A26="",0,SUMIFS(Transactions!$F$5:$F$1504,Transactions!$D$5:$D$1504,$A26,Transactions!$L$5:$L$1504,H$4)-SUMIFS(Transactions!$E$5:$E$1504,Transactions!$D$5:$D$1504,$A26,Transactions!$L$5:$L$1504,H$4))</f>
        <v/>
      </c>
      <c r="I26" s="41">
        <f>IF($A26="",0,SUMIFS(Transactions!$F$5:$F$1504,Transactions!$D$5:$D$1504,$A26,Transactions!$L$5:$L$1504,I$4)-SUMIFS(Transactions!$E$5:$E$1504,Transactions!$D$5:$D$1504,$A26,Transactions!$L$5:$L$1504,I$4))</f>
        <v/>
      </c>
      <c r="J26" s="41">
        <f>IF($A26="",0,SUMIFS(Transactions!$F$5:$F$1504,Transactions!$D$5:$D$1504,$A26,Transactions!$L$5:$L$1504,J$4)-SUMIFS(Transactions!$E$5:$E$1504,Transactions!$D$5:$D$1504,$A26,Transactions!$L$5:$L$1504,J$4))</f>
        <v/>
      </c>
      <c r="K26" s="41">
        <f>IF($A26="",0,SUMIFS(Transactions!$F$5:$F$1504,Transactions!$D$5:$D$1504,$A26,Transactions!$L$5:$L$1504,K$4)-SUMIFS(Transactions!$E$5:$E$1504,Transactions!$D$5:$D$1504,$A26,Transactions!$L$5:$L$1504,K$4))</f>
        <v/>
      </c>
      <c r="L26" s="41">
        <f>IF($A26="",0,SUMIFS(Transactions!$F$5:$F$1504,Transactions!$D$5:$D$1504,$A26,Transactions!$L$5:$L$1504,L$4)-SUMIFS(Transactions!$E$5:$E$1504,Transactions!$D$5:$D$1504,$A26,Transactions!$L$5:$L$1504,L$4))</f>
        <v/>
      </c>
      <c r="M26" s="41">
        <f>IF($A26="",0,SUMIFS(Transactions!$F$5:$F$1504,Transactions!$D$5:$D$1504,$A26,Transactions!$L$5:$L$1504,M$4)-SUMIFS(Transactions!$E$5:$E$1504,Transactions!$D$5:$D$1504,$A26,Transactions!$L$5:$L$1504,M$4))</f>
        <v/>
      </c>
      <c r="N26" s="19">
        <f>SUM(B26:M26)</f>
        <v/>
      </c>
    </row>
    <row r="27">
      <c r="A27" s="40">
        <f>IF(Setup!$A$36="","",Setup!$A$36)</f>
        <v/>
      </c>
      <c r="B27" s="41">
        <f>IF($A27="",0,SUMIFS(Transactions!$F$5:$F$1504,Transactions!$D$5:$D$1504,$A27,Transactions!$L$5:$L$1504,B$4)-SUMIFS(Transactions!$E$5:$E$1504,Transactions!$D$5:$D$1504,$A27,Transactions!$L$5:$L$1504,B$4))</f>
        <v/>
      </c>
      <c r="C27" s="41">
        <f>IF($A27="",0,SUMIFS(Transactions!$F$5:$F$1504,Transactions!$D$5:$D$1504,$A27,Transactions!$L$5:$L$1504,C$4)-SUMIFS(Transactions!$E$5:$E$1504,Transactions!$D$5:$D$1504,$A27,Transactions!$L$5:$L$1504,C$4))</f>
        <v/>
      </c>
      <c r="D27" s="41">
        <f>IF($A27="",0,SUMIFS(Transactions!$F$5:$F$1504,Transactions!$D$5:$D$1504,$A27,Transactions!$L$5:$L$1504,D$4)-SUMIFS(Transactions!$E$5:$E$1504,Transactions!$D$5:$D$1504,$A27,Transactions!$L$5:$L$1504,D$4))</f>
        <v/>
      </c>
      <c r="E27" s="41">
        <f>IF($A27="",0,SUMIFS(Transactions!$F$5:$F$1504,Transactions!$D$5:$D$1504,$A27,Transactions!$L$5:$L$1504,E$4)-SUMIFS(Transactions!$E$5:$E$1504,Transactions!$D$5:$D$1504,$A27,Transactions!$L$5:$L$1504,E$4))</f>
        <v/>
      </c>
      <c r="F27" s="41">
        <f>IF($A27="",0,SUMIFS(Transactions!$F$5:$F$1504,Transactions!$D$5:$D$1504,$A27,Transactions!$L$5:$L$1504,F$4)-SUMIFS(Transactions!$E$5:$E$1504,Transactions!$D$5:$D$1504,$A27,Transactions!$L$5:$L$1504,F$4))</f>
        <v/>
      </c>
      <c r="G27" s="41">
        <f>IF($A27="",0,SUMIFS(Transactions!$F$5:$F$1504,Transactions!$D$5:$D$1504,$A27,Transactions!$L$5:$L$1504,G$4)-SUMIFS(Transactions!$E$5:$E$1504,Transactions!$D$5:$D$1504,$A27,Transactions!$L$5:$L$1504,G$4))</f>
        <v/>
      </c>
      <c r="H27" s="41">
        <f>IF($A27="",0,SUMIFS(Transactions!$F$5:$F$1504,Transactions!$D$5:$D$1504,$A27,Transactions!$L$5:$L$1504,H$4)-SUMIFS(Transactions!$E$5:$E$1504,Transactions!$D$5:$D$1504,$A27,Transactions!$L$5:$L$1504,H$4))</f>
        <v/>
      </c>
      <c r="I27" s="41">
        <f>IF($A27="",0,SUMIFS(Transactions!$F$5:$F$1504,Transactions!$D$5:$D$1504,$A27,Transactions!$L$5:$L$1504,I$4)-SUMIFS(Transactions!$E$5:$E$1504,Transactions!$D$5:$D$1504,$A27,Transactions!$L$5:$L$1504,I$4))</f>
        <v/>
      </c>
      <c r="J27" s="41">
        <f>IF($A27="",0,SUMIFS(Transactions!$F$5:$F$1504,Transactions!$D$5:$D$1504,$A27,Transactions!$L$5:$L$1504,J$4)-SUMIFS(Transactions!$E$5:$E$1504,Transactions!$D$5:$D$1504,$A27,Transactions!$L$5:$L$1504,J$4))</f>
        <v/>
      </c>
      <c r="K27" s="41">
        <f>IF($A27="",0,SUMIFS(Transactions!$F$5:$F$1504,Transactions!$D$5:$D$1504,$A27,Transactions!$L$5:$L$1504,K$4)-SUMIFS(Transactions!$E$5:$E$1504,Transactions!$D$5:$D$1504,$A27,Transactions!$L$5:$L$1504,K$4))</f>
        <v/>
      </c>
      <c r="L27" s="41">
        <f>IF($A27="",0,SUMIFS(Transactions!$F$5:$F$1504,Transactions!$D$5:$D$1504,$A27,Transactions!$L$5:$L$1504,L$4)-SUMIFS(Transactions!$E$5:$E$1504,Transactions!$D$5:$D$1504,$A27,Transactions!$L$5:$L$1504,L$4))</f>
        <v/>
      </c>
      <c r="M27" s="41">
        <f>IF($A27="",0,SUMIFS(Transactions!$F$5:$F$1504,Transactions!$D$5:$D$1504,$A27,Transactions!$L$5:$L$1504,M$4)-SUMIFS(Transactions!$E$5:$E$1504,Transactions!$D$5:$D$1504,$A27,Transactions!$L$5:$L$1504,M$4))</f>
        <v/>
      </c>
      <c r="N27" s="19">
        <f>SUM(B27:M27)</f>
        <v/>
      </c>
    </row>
    <row r="28">
      <c r="A28" s="40">
        <f>IF(Setup!$A$37="","",Setup!$A$37)</f>
        <v/>
      </c>
      <c r="B28" s="41">
        <f>IF($A28="",0,SUMIFS(Transactions!$F$5:$F$1504,Transactions!$D$5:$D$1504,$A28,Transactions!$L$5:$L$1504,B$4)-SUMIFS(Transactions!$E$5:$E$1504,Transactions!$D$5:$D$1504,$A28,Transactions!$L$5:$L$1504,B$4))</f>
        <v/>
      </c>
      <c r="C28" s="41">
        <f>IF($A28="",0,SUMIFS(Transactions!$F$5:$F$1504,Transactions!$D$5:$D$1504,$A28,Transactions!$L$5:$L$1504,C$4)-SUMIFS(Transactions!$E$5:$E$1504,Transactions!$D$5:$D$1504,$A28,Transactions!$L$5:$L$1504,C$4))</f>
        <v/>
      </c>
      <c r="D28" s="41">
        <f>IF($A28="",0,SUMIFS(Transactions!$F$5:$F$1504,Transactions!$D$5:$D$1504,$A28,Transactions!$L$5:$L$1504,D$4)-SUMIFS(Transactions!$E$5:$E$1504,Transactions!$D$5:$D$1504,$A28,Transactions!$L$5:$L$1504,D$4))</f>
        <v/>
      </c>
      <c r="E28" s="41">
        <f>IF($A28="",0,SUMIFS(Transactions!$F$5:$F$1504,Transactions!$D$5:$D$1504,$A28,Transactions!$L$5:$L$1504,E$4)-SUMIFS(Transactions!$E$5:$E$1504,Transactions!$D$5:$D$1504,$A28,Transactions!$L$5:$L$1504,E$4))</f>
        <v/>
      </c>
      <c r="F28" s="41">
        <f>IF($A28="",0,SUMIFS(Transactions!$F$5:$F$1504,Transactions!$D$5:$D$1504,$A28,Transactions!$L$5:$L$1504,F$4)-SUMIFS(Transactions!$E$5:$E$1504,Transactions!$D$5:$D$1504,$A28,Transactions!$L$5:$L$1504,F$4))</f>
        <v/>
      </c>
      <c r="G28" s="41">
        <f>IF($A28="",0,SUMIFS(Transactions!$F$5:$F$1504,Transactions!$D$5:$D$1504,$A28,Transactions!$L$5:$L$1504,G$4)-SUMIFS(Transactions!$E$5:$E$1504,Transactions!$D$5:$D$1504,$A28,Transactions!$L$5:$L$1504,G$4))</f>
        <v/>
      </c>
      <c r="H28" s="41">
        <f>IF($A28="",0,SUMIFS(Transactions!$F$5:$F$1504,Transactions!$D$5:$D$1504,$A28,Transactions!$L$5:$L$1504,H$4)-SUMIFS(Transactions!$E$5:$E$1504,Transactions!$D$5:$D$1504,$A28,Transactions!$L$5:$L$1504,H$4))</f>
        <v/>
      </c>
      <c r="I28" s="41">
        <f>IF($A28="",0,SUMIFS(Transactions!$F$5:$F$1504,Transactions!$D$5:$D$1504,$A28,Transactions!$L$5:$L$1504,I$4)-SUMIFS(Transactions!$E$5:$E$1504,Transactions!$D$5:$D$1504,$A28,Transactions!$L$5:$L$1504,I$4))</f>
        <v/>
      </c>
      <c r="J28" s="41">
        <f>IF($A28="",0,SUMIFS(Transactions!$F$5:$F$1504,Transactions!$D$5:$D$1504,$A28,Transactions!$L$5:$L$1504,J$4)-SUMIFS(Transactions!$E$5:$E$1504,Transactions!$D$5:$D$1504,$A28,Transactions!$L$5:$L$1504,J$4))</f>
        <v/>
      </c>
      <c r="K28" s="41">
        <f>IF($A28="",0,SUMIFS(Transactions!$F$5:$F$1504,Transactions!$D$5:$D$1504,$A28,Transactions!$L$5:$L$1504,K$4)-SUMIFS(Transactions!$E$5:$E$1504,Transactions!$D$5:$D$1504,$A28,Transactions!$L$5:$L$1504,K$4))</f>
        <v/>
      </c>
      <c r="L28" s="41">
        <f>IF($A28="",0,SUMIFS(Transactions!$F$5:$F$1504,Transactions!$D$5:$D$1504,$A28,Transactions!$L$5:$L$1504,L$4)-SUMIFS(Transactions!$E$5:$E$1504,Transactions!$D$5:$D$1504,$A28,Transactions!$L$5:$L$1504,L$4))</f>
        <v/>
      </c>
      <c r="M28" s="41">
        <f>IF($A28="",0,SUMIFS(Transactions!$F$5:$F$1504,Transactions!$D$5:$D$1504,$A28,Transactions!$L$5:$L$1504,M$4)-SUMIFS(Transactions!$E$5:$E$1504,Transactions!$D$5:$D$1504,$A28,Transactions!$L$5:$L$1504,M$4))</f>
        <v/>
      </c>
      <c r="N28" s="19">
        <f>SUM(B28:M28)</f>
        <v/>
      </c>
    </row>
    <row r="29">
      <c r="A29" s="40">
        <f>IF(Setup!$A$38="","",Setup!$A$38)</f>
        <v/>
      </c>
      <c r="B29" s="41">
        <f>IF($A29="",0,SUMIFS(Transactions!$F$5:$F$1504,Transactions!$D$5:$D$1504,$A29,Transactions!$L$5:$L$1504,B$4)-SUMIFS(Transactions!$E$5:$E$1504,Transactions!$D$5:$D$1504,$A29,Transactions!$L$5:$L$1504,B$4))</f>
        <v/>
      </c>
      <c r="C29" s="41">
        <f>IF($A29="",0,SUMIFS(Transactions!$F$5:$F$1504,Transactions!$D$5:$D$1504,$A29,Transactions!$L$5:$L$1504,C$4)-SUMIFS(Transactions!$E$5:$E$1504,Transactions!$D$5:$D$1504,$A29,Transactions!$L$5:$L$1504,C$4))</f>
        <v/>
      </c>
      <c r="D29" s="41">
        <f>IF($A29="",0,SUMIFS(Transactions!$F$5:$F$1504,Transactions!$D$5:$D$1504,$A29,Transactions!$L$5:$L$1504,D$4)-SUMIFS(Transactions!$E$5:$E$1504,Transactions!$D$5:$D$1504,$A29,Transactions!$L$5:$L$1504,D$4))</f>
        <v/>
      </c>
      <c r="E29" s="41">
        <f>IF($A29="",0,SUMIFS(Transactions!$F$5:$F$1504,Transactions!$D$5:$D$1504,$A29,Transactions!$L$5:$L$1504,E$4)-SUMIFS(Transactions!$E$5:$E$1504,Transactions!$D$5:$D$1504,$A29,Transactions!$L$5:$L$1504,E$4))</f>
        <v/>
      </c>
      <c r="F29" s="41">
        <f>IF($A29="",0,SUMIFS(Transactions!$F$5:$F$1504,Transactions!$D$5:$D$1504,$A29,Transactions!$L$5:$L$1504,F$4)-SUMIFS(Transactions!$E$5:$E$1504,Transactions!$D$5:$D$1504,$A29,Transactions!$L$5:$L$1504,F$4))</f>
        <v/>
      </c>
      <c r="G29" s="41">
        <f>IF($A29="",0,SUMIFS(Transactions!$F$5:$F$1504,Transactions!$D$5:$D$1504,$A29,Transactions!$L$5:$L$1504,G$4)-SUMIFS(Transactions!$E$5:$E$1504,Transactions!$D$5:$D$1504,$A29,Transactions!$L$5:$L$1504,G$4))</f>
        <v/>
      </c>
      <c r="H29" s="41">
        <f>IF($A29="",0,SUMIFS(Transactions!$F$5:$F$1504,Transactions!$D$5:$D$1504,$A29,Transactions!$L$5:$L$1504,H$4)-SUMIFS(Transactions!$E$5:$E$1504,Transactions!$D$5:$D$1504,$A29,Transactions!$L$5:$L$1504,H$4))</f>
        <v/>
      </c>
      <c r="I29" s="41">
        <f>IF($A29="",0,SUMIFS(Transactions!$F$5:$F$1504,Transactions!$D$5:$D$1504,$A29,Transactions!$L$5:$L$1504,I$4)-SUMIFS(Transactions!$E$5:$E$1504,Transactions!$D$5:$D$1504,$A29,Transactions!$L$5:$L$1504,I$4))</f>
        <v/>
      </c>
      <c r="J29" s="41">
        <f>IF($A29="",0,SUMIFS(Transactions!$F$5:$F$1504,Transactions!$D$5:$D$1504,$A29,Transactions!$L$5:$L$1504,J$4)-SUMIFS(Transactions!$E$5:$E$1504,Transactions!$D$5:$D$1504,$A29,Transactions!$L$5:$L$1504,J$4))</f>
        <v/>
      </c>
      <c r="K29" s="41">
        <f>IF($A29="",0,SUMIFS(Transactions!$F$5:$F$1504,Transactions!$D$5:$D$1504,$A29,Transactions!$L$5:$L$1504,K$4)-SUMIFS(Transactions!$E$5:$E$1504,Transactions!$D$5:$D$1504,$A29,Transactions!$L$5:$L$1504,K$4))</f>
        <v/>
      </c>
      <c r="L29" s="41">
        <f>IF($A29="",0,SUMIFS(Transactions!$F$5:$F$1504,Transactions!$D$5:$D$1504,$A29,Transactions!$L$5:$L$1504,L$4)-SUMIFS(Transactions!$E$5:$E$1504,Transactions!$D$5:$D$1504,$A29,Transactions!$L$5:$L$1504,L$4))</f>
        <v/>
      </c>
      <c r="M29" s="41">
        <f>IF($A29="",0,SUMIFS(Transactions!$F$5:$F$1504,Transactions!$D$5:$D$1504,$A29,Transactions!$L$5:$L$1504,M$4)-SUMIFS(Transactions!$E$5:$E$1504,Transactions!$D$5:$D$1504,$A29,Transactions!$L$5:$L$1504,M$4))</f>
        <v/>
      </c>
      <c r="N29" s="19">
        <f>SUM(B29:M29)</f>
        <v/>
      </c>
    </row>
    <row r="30">
      <c r="A30" s="40">
        <f>IF(Setup!$A$39="","",Setup!$A$39)</f>
        <v/>
      </c>
      <c r="B30" s="41">
        <f>IF($A30="",0,SUMIFS(Transactions!$F$5:$F$1504,Transactions!$D$5:$D$1504,$A30,Transactions!$L$5:$L$1504,B$4)-SUMIFS(Transactions!$E$5:$E$1504,Transactions!$D$5:$D$1504,$A30,Transactions!$L$5:$L$1504,B$4))</f>
        <v/>
      </c>
      <c r="C30" s="41">
        <f>IF($A30="",0,SUMIFS(Transactions!$F$5:$F$1504,Transactions!$D$5:$D$1504,$A30,Transactions!$L$5:$L$1504,C$4)-SUMIFS(Transactions!$E$5:$E$1504,Transactions!$D$5:$D$1504,$A30,Transactions!$L$5:$L$1504,C$4))</f>
        <v/>
      </c>
      <c r="D30" s="41">
        <f>IF($A30="",0,SUMIFS(Transactions!$F$5:$F$1504,Transactions!$D$5:$D$1504,$A30,Transactions!$L$5:$L$1504,D$4)-SUMIFS(Transactions!$E$5:$E$1504,Transactions!$D$5:$D$1504,$A30,Transactions!$L$5:$L$1504,D$4))</f>
        <v/>
      </c>
      <c r="E30" s="41">
        <f>IF($A30="",0,SUMIFS(Transactions!$F$5:$F$1504,Transactions!$D$5:$D$1504,$A30,Transactions!$L$5:$L$1504,E$4)-SUMIFS(Transactions!$E$5:$E$1504,Transactions!$D$5:$D$1504,$A30,Transactions!$L$5:$L$1504,E$4))</f>
        <v/>
      </c>
      <c r="F30" s="41">
        <f>IF($A30="",0,SUMIFS(Transactions!$F$5:$F$1504,Transactions!$D$5:$D$1504,$A30,Transactions!$L$5:$L$1504,F$4)-SUMIFS(Transactions!$E$5:$E$1504,Transactions!$D$5:$D$1504,$A30,Transactions!$L$5:$L$1504,F$4))</f>
        <v/>
      </c>
      <c r="G30" s="41">
        <f>IF($A30="",0,SUMIFS(Transactions!$F$5:$F$1504,Transactions!$D$5:$D$1504,$A30,Transactions!$L$5:$L$1504,G$4)-SUMIFS(Transactions!$E$5:$E$1504,Transactions!$D$5:$D$1504,$A30,Transactions!$L$5:$L$1504,G$4))</f>
        <v/>
      </c>
      <c r="H30" s="41">
        <f>IF($A30="",0,SUMIFS(Transactions!$F$5:$F$1504,Transactions!$D$5:$D$1504,$A30,Transactions!$L$5:$L$1504,H$4)-SUMIFS(Transactions!$E$5:$E$1504,Transactions!$D$5:$D$1504,$A30,Transactions!$L$5:$L$1504,H$4))</f>
        <v/>
      </c>
      <c r="I30" s="41">
        <f>IF($A30="",0,SUMIFS(Transactions!$F$5:$F$1504,Transactions!$D$5:$D$1504,$A30,Transactions!$L$5:$L$1504,I$4)-SUMIFS(Transactions!$E$5:$E$1504,Transactions!$D$5:$D$1504,$A30,Transactions!$L$5:$L$1504,I$4))</f>
        <v/>
      </c>
      <c r="J30" s="41">
        <f>IF($A30="",0,SUMIFS(Transactions!$F$5:$F$1504,Transactions!$D$5:$D$1504,$A30,Transactions!$L$5:$L$1504,J$4)-SUMIFS(Transactions!$E$5:$E$1504,Transactions!$D$5:$D$1504,$A30,Transactions!$L$5:$L$1504,J$4))</f>
        <v/>
      </c>
      <c r="K30" s="41">
        <f>IF($A30="",0,SUMIFS(Transactions!$F$5:$F$1504,Transactions!$D$5:$D$1504,$A30,Transactions!$L$5:$L$1504,K$4)-SUMIFS(Transactions!$E$5:$E$1504,Transactions!$D$5:$D$1504,$A30,Transactions!$L$5:$L$1504,K$4))</f>
        <v/>
      </c>
      <c r="L30" s="41">
        <f>IF($A30="",0,SUMIFS(Transactions!$F$5:$F$1504,Transactions!$D$5:$D$1504,$A30,Transactions!$L$5:$L$1504,L$4)-SUMIFS(Transactions!$E$5:$E$1504,Transactions!$D$5:$D$1504,$A30,Transactions!$L$5:$L$1504,L$4))</f>
        <v/>
      </c>
      <c r="M30" s="41">
        <f>IF($A30="",0,SUMIFS(Transactions!$F$5:$F$1504,Transactions!$D$5:$D$1504,$A30,Transactions!$L$5:$L$1504,M$4)-SUMIFS(Transactions!$E$5:$E$1504,Transactions!$D$5:$D$1504,$A30,Transactions!$L$5:$L$1504,M$4))</f>
        <v/>
      </c>
      <c r="N30" s="19">
        <f>SUM(B30:M30)</f>
        <v/>
      </c>
    </row>
    <row r="31">
      <c r="A31" s="40">
        <f>IF(Setup!$A$40="","",Setup!$A$40)</f>
        <v/>
      </c>
      <c r="B31" s="41">
        <f>IF($A31="",0,SUMIFS(Transactions!$F$5:$F$1504,Transactions!$D$5:$D$1504,$A31,Transactions!$L$5:$L$1504,B$4)-SUMIFS(Transactions!$E$5:$E$1504,Transactions!$D$5:$D$1504,$A31,Transactions!$L$5:$L$1504,B$4))</f>
        <v/>
      </c>
      <c r="C31" s="41">
        <f>IF($A31="",0,SUMIFS(Transactions!$F$5:$F$1504,Transactions!$D$5:$D$1504,$A31,Transactions!$L$5:$L$1504,C$4)-SUMIFS(Transactions!$E$5:$E$1504,Transactions!$D$5:$D$1504,$A31,Transactions!$L$5:$L$1504,C$4))</f>
        <v/>
      </c>
      <c r="D31" s="41">
        <f>IF($A31="",0,SUMIFS(Transactions!$F$5:$F$1504,Transactions!$D$5:$D$1504,$A31,Transactions!$L$5:$L$1504,D$4)-SUMIFS(Transactions!$E$5:$E$1504,Transactions!$D$5:$D$1504,$A31,Transactions!$L$5:$L$1504,D$4))</f>
        <v/>
      </c>
      <c r="E31" s="41">
        <f>IF($A31="",0,SUMIFS(Transactions!$F$5:$F$1504,Transactions!$D$5:$D$1504,$A31,Transactions!$L$5:$L$1504,E$4)-SUMIFS(Transactions!$E$5:$E$1504,Transactions!$D$5:$D$1504,$A31,Transactions!$L$5:$L$1504,E$4))</f>
        <v/>
      </c>
      <c r="F31" s="41">
        <f>IF($A31="",0,SUMIFS(Transactions!$F$5:$F$1504,Transactions!$D$5:$D$1504,$A31,Transactions!$L$5:$L$1504,F$4)-SUMIFS(Transactions!$E$5:$E$1504,Transactions!$D$5:$D$1504,$A31,Transactions!$L$5:$L$1504,F$4))</f>
        <v/>
      </c>
      <c r="G31" s="41">
        <f>IF($A31="",0,SUMIFS(Transactions!$F$5:$F$1504,Transactions!$D$5:$D$1504,$A31,Transactions!$L$5:$L$1504,G$4)-SUMIFS(Transactions!$E$5:$E$1504,Transactions!$D$5:$D$1504,$A31,Transactions!$L$5:$L$1504,G$4))</f>
        <v/>
      </c>
      <c r="H31" s="41">
        <f>IF($A31="",0,SUMIFS(Transactions!$F$5:$F$1504,Transactions!$D$5:$D$1504,$A31,Transactions!$L$5:$L$1504,H$4)-SUMIFS(Transactions!$E$5:$E$1504,Transactions!$D$5:$D$1504,$A31,Transactions!$L$5:$L$1504,H$4))</f>
        <v/>
      </c>
      <c r="I31" s="41">
        <f>IF($A31="",0,SUMIFS(Transactions!$F$5:$F$1504,Transactions!$D$5:$D$1504,$A31,Transactions!$L$5:$L$1504,I$4)-SUMIFS(Transactions!$E$5:$E$1504,Transactions!$D$5:$D$1504,$A31,Transactions!$L$5:$L$1504,I$4))</f>
        <v/>
      </c>
      <c r="J31" s="41">
        <f>IF($A31="",0,SUMIFS(Transactions!$F$5:$F$1504,Transactions!$D$5:$D$1504,$A31,Transactions!$L$5:$L$1504,J$4)-SUMIFS(Transactions!$E$5:$E$1504,Transactions!$D$5:$D$1504,$A31,Transactions!$L$5:$L$1504,J$4))</f>
        <v/>
      </c>
      <c r="K31" s="41">
        <f>IF($A31="",0,SUMIFS(Transactions!$F$5:$F$1504,Transactions!$D$5:$D$1504,$A31,Transactions!$L$5:$L$1504,K$4)-SUMIFS(Transactions!$E$5:$E$1504,Transactions!$D$5:$D$1504,$A31,Transactions!$L$5:$L$1504,K$4))</f>
        <v/>
      </c>
      <c r="L31" s="41">
        <f>IF($A31="",0,SUMIFS(Transactions!$F$5:$F$1504,Transactions!$D$5:$D$1504,$A31,Transactions!$L$5:$L$1504,L$4)-SUMIFS(Transactions!$E$5:$E$1504,Transactions!$D$5:$D$1504,$A31,Transactions!$L$5:$L$1504,L$4))</f>
        <v/>
      </c>
      <c r="M31" s="41">
        <f>IF($A31="",0,SUMIFS(Transactions!$F$5:$F$1504,Transactions!$D$5:$D$1504,$A31,Transactions!$L$5:$L$1504,M$4)-SUMIFS(Transactions!$E$5:$E$1504,Transactions!$D$5:$D$1504,$A31,Transactions!$L$5:$L$1504,M$4))</f>
        <v/>
      </c>
      <c r="N31" s="19">
        <f>SUM(B31:M31)</f>
        <v/>
      </c>
    </row>
    <row r="32">
      <c r="A32" s="40">
        <f>IF(Setup!$A$41="","",Setup!$A$41)</f>
        <v/>
      </c>
      <c r="B32" s="41">
        <f>IF($A32="",0,SUMIFS(Transactions!$F$5:$F$1504,Transactions!$D$5:$D$1504,$A32,Transactions!$L$5:$L$1504,B$4)-SUMIFS(Transactions!$E$5:$E$1504,Transactions!$D$5:$D$1504,$A32,Transactions!$L$5:$L$1504,B$4))</f>
        <v/>
      </c>
      <c r="C32" s="41">
        <f>IF($A32="",0,SUMIFS(Transactions!$F$5:$F$1504,Transactions!$D$5:$D$1504,$A32,Transactions!$L$5:$L$1504,C$4)-SUMIFS(Transactions!$E$5:$E$1504,Transactions!$D$5:$D$1504,$A32,Transactions!$L$5:$L$1504,C$4))</f>
        <v/>
      </c>
      <c r="D32" s="41">
        <f>IF($A32="",0,SUMIFS(Transactions!$F$5:$F$1504,Transactions!$D$5:$D$1504,$A32,Transactions!$L$5:$L$1504,D$4)-SUMIFS(Transactions!$E$5:$E$1504,Transactions!$D$5:$D$1504,$A32,Transactions!$L$5:$L$1504,D$4))</f>
        <v/>
      </c>
      <c r="E32" s="41">
        <f>IF($A32="",0,SUMIFS(Transactions!$F$5:$F$1504,Transactions!$D$5:$D$1504,$A32,Transactions!$L$5:$L$1504,E$4)-SUMIFS(Transactions!$E$5:$E$1504,Transactions!$D$5:$D$1504,$A32,Transactions!$L$5:$L$1504,E$4))</f>
        <v/>
      </c>
      <c r="F32" s="41">
        <f>IF($A32="",0,SUMIFS(Transactions!$F$5:$F$1504,Transactions!$D$5:$D$1504,$A32,Transactions!$L$5:$L$1504,F$4)-SUMIFS(Transactions!$E$5:$E$1504,Transactions!$D$5:$D$1504,$A32,Transactions!$L$5:$L$1504,F$4))</f>
        <v/>
      </c>
      <c r="G32" s="41">
        <f>IF($A32="",0,SUMIFS(Transactions!$F$5:$F$1504,Transactions!$D$5:$D$1504,$A32,Transactions!$L$5:$L$1504,G$4)-SUMIFS(Transactions!$E$5:$E$1504,Transactions!$D$5:$D$1504,$A32,Transactions!$L$5:$L$1504,G$4))</f>
        <v/>
      </c>
      <c r="H32" s="41">
        <f>IF($A32="",0,SUMIFS(Transactions!$F$5:$F$1504,Transactions!$D$5:$D$1504,$A32,Transactions!$L$5:$L$1504,H$4)-SUMIFS(Transactions!$E$5:$E$1504,Transactions!$D$5:$D$1504,$A32,Transactions!$L$5:$L$1504,H$4))</f>
        <v/>
      </c>
      <c r="I32" s="41">
        <f>IF($A32="",0,SUMIFS(Transactions!$F$5:$F$1504,Transactions!$D$5:$D$1504,$A32,Transactions!$L$5:$L$1504,I$4)-SUMIFS(Transactions!$E$5:$E$1504,Transactions!$D$5:$D$1504,$A32,Transactions!$L$5:$L$1504,I$4))</f>
        <v/>
      </c>
      <c r="J32" s="41">
        <f>IF($A32="",0,SUMIFS(Transactions!$F$5:$F$1504,Transactions!$D$5:$D$1504,$A32,Transactions!$L$5:$L$1504,J$4)-SUMIFS(Transactions!$E$5:$E$1504,Transactions!$D$5:$D$1504,$A32,Transactions!$L$5:$L$1504,J$4))</f>
        <v/>
      </c>
      <c r="K32" s="41">
        <f>IF($A32="",0,SUMIFS(Transactions!$F$5:$F$1504,Transactions!$D$5:$D$1504,$A32,Transactions!$L$5:$L$1504,K$4)-SUMIFS(Transactions!$E$5:$E$1504,Transactions!$D$5:$D$1504,$A32,Transactions!$L$5:$L$1504,K$4))</f>
        <v/>
      </c>
      <c r="L32" s="41">
        <f>IF($A32="",0,SUMIFS(Transactions!$F$5:$F$1504,Transactions!$D$5:$D$1504,$A32,Transactions!$L$5:$L$1504,L$4)-SUMIFS(Transactions!$E$5:$E$1504,Transactions!$D$5:$D$1504,$A32,Transactions!$L$5:$L$1504,L$4))</f>
        <v/>
      </c>
      <c r="M32" s="41">
        <f>IF($A32="",0,SUMIFS(Transactions!$F$5:$F$1504,Transactions!$D$5:$D$1504,$A32,Transactions!$L$5:$L$1504,M$4)-SUMIFS(Transactions!$E$5:$E$1504,Transactions!$D$5:$D$1504,$A32,Transactions!$L$5:$L$1504,M$4))</f>
        <v/>
      </c>
      <c r="N32" s="19">
        <f>SUM(B32:M32)</f>
        <v/>
      </c>
    </row>
    <row r="33">
      <c r="A33" s="40">
        <f>IF(Setup!$A$42="","",Setup!$A$42)</f>
        <v/>
      </c>
      <c r="B33" s="41">
        <f>IF($A33="",0,SUMIFS(Transactions!$F$5:$F$1504,Transactions!$D$5:$D$1504,$A33,Transactions!$L$5:$L$1504,B$4)-SUMIFS(Transactions!$E$5:$E$1504,Transactions!$D$5:$D$1504,$A33,Transactions!$L$5:$L$1504,B$4))</f>
        <v/>
      </c>
      <c r="C33" s="41">
        <f>IF($A33="",0,SUMIFS(Transactions!$F$5:$F$1504,Transactions!$D$5:$D$1504,$A33,Transactions!$L$5:$L$1504,C$4)-SUMIFS(Transactions!$E$5:$E$1504,Transactions!$D$5:$D$1504,$A33,Transactions!$L$5:$L$1504,C$4))</f>
        <v/>
      </c>
      <c r="D33" s="41">
        <f>IF($A33="",0,SUMIFS(Transactions!$F$5:$F$1504,Transactions!$D$5:$D$1504,$A33,Transactions!$L$5:$L$1504,D$4)-SUMIFS(Transactions!$E$5:$E$1504,Transactions!$D$5:$D$1504,$A33,Transactions!$L$5:$L$1504,D$4))</f>
        <v/>
      </c>
      <c r="E33" s="41">
        <f>IF($A33="",0,SUMIFS(Transactions!$F$5:$F$1504,Transactions!$D$5:$D$1504,$A33,Transactions!$L$5:$L$1504,E$4)-SUMIFS(Transactions!$E$5:$E$1504,Transactions!$D$5:$D$1504,$A33,Transactions!$L$5:$L$1504,E$4))</f>
        <v/>
      </c>
      <c r="F33" s="41">
        <f>IF($A33="",0,SUMIFS(Transactions!$F$5:$F$1504,Transactions!$D$5:$D$1504,$A33,Transactions!$L$5:$L$1504,F$4)-SUMIFS(Transactions!$E$5:$E$1504,Transactions!$D$5:$D$1504,$A33,Transactions!$L$5:$L$1504,F$4))</f>
        <v/>
      </c>
      <c r="G33" s="41">
        <f>IF($A33="",0,SUMIFS(Transactions!$F$5:$F$1504,Transactions!$D$5:$D$1504,$A33,Transactions!$L$5:$L$1504,G$4)-SUMIFS(Transactions!$E$5:$E$1504,Transactions!$D$5:$D$1504,$A33,Transactions!$L$5:$L$1504,G$4))</f>
        <v/>
      </c>
      <c r="H33" s="41">
        <f>IF($A33="",0,SUMIFS(Transactions!$F$5:$F$1504,Transactions!$D$5:$D$1504,$A33,Transactions!$L$5:$L$1504,H$4)-SUMIFS(Transactions!$E$5:$E$1504,Transactions!$D$5:$D$1504,$A33,Transactions!$L$5:$L$1504,H$4))</f>
        <v/>
      </c>
      <c r="I33" s="41">
        <f>IF($A33="",0,SUMIFS(Transactions!$F$5:$F$1504,Transactions!$D$5:$D$1504,$A33,Transactions!$L$5:$L$1504,I$4)-SUMIFS(Transactions!$E$5:$E$1504,Transactions!$D$5:$D$1504,$A33,Transactions!$L$5:$L$1504,I$4))</f>
        <v/>
      </c>
      <c r="J33" s="41">
        <f>IF($A33="",0,SUMIFS(Transactions!$F$5:$F$1504,Transactions!$D$5:$D$1504,$A33,Transactions!$L$5:$L$1504,J$4)-SUMIFS(Transactions!$E$5:$E$1504,Transactions!$D$5:$D$1504,$A33,Transactions!$L$5:$L$1504,J$4))</f>
        <v/>
      </c>
      <c r="K33" s="41">
        <f>IF($A33="",0,SUMIFS(Transactions!$F$5:$F$1504,Transactions!$D$5:$D$1504,$A33,Transactions!$L$5:$L$1504,K$4)-SUMIFS(Transactions!$E$5:$E$1504,Transactions!$D$5:$D$1504,$A33,Transactions!$L$5:$L$1504,K$4))</f>
        <v/>
      </c>
      <c r="L33" s="41">
        <f>IF($A33="",0,SUMIFS(Transactions!$F$5:$F$1504,Transactions!$D$5:$D$1504,$A33,Transactions!$L$5:$L$1504,L$4)-SUMIFS(Transactions!$E$5:$E$1504,Transactions!$D$5:$D$1504,$A33,Transactions!$L$5:$L$1504,L$4))</f>
        <v/>
      </c>
      <c r="M33" s="41">
        <f>IF($A33="",0,SUMIFS(Transactions!$F$5:$F$1504,Transactions!$D$5:$D$1504,$A33,Transactions!$L$5:$L$1504,M$4)-SUMIFS(Transactions!$E$5:$E$1504,Transactions!$D$5:$D$1504,$A33,Transactions!$L$5:$L$1504,M$4))</f>
        <v/>
      </c>
      <c r="N33" s="19">
        <f>SUM(B33:M33)</f>
        <v/>
      </c>
    </row>
    <row r="34">
      <c r="A34" s="40">
        <f>IF(Setup!$A$43="","",Setup!$A$43)</f>
        <v/>
      </c>
      <c r="B34" s="41">
        <f>IF($A34="",0,SUMIFS(Transactions!$F$5:$F$1504,Transactions!$D$5:$D$1504,$A34,Transactions!$L$5:$L$1504,B$4)-SUMIFS(Transactions!$E$5:$E$1504,Transactions!$D$5:$D$1504,$A34,Transactions!$L$5:$L$1504,B$4))</f>
        <v/>
      </c>
      <c r="C34" s="41">
        <f>IF($A34="",0,SUMIFS(Transactions!$F$5:$F$1504,Transactions!$D$5:$D$1504,$A34,Transactions!$L$5:$L$1504,C$4)-SUMIFS(Transactions!$E$5:$E$1504,Transactions!$D$5:$D$1504,$A34,Transactions!$L$5:$L$1504,C$4))</f>
        <v/>
      </c>
      <c r="D34" s="41">
        <f>IF($A34="",0,SUMIFS(Transactions!$F$5:$F$1504,Transactions!$D$5:$D$1504,$A34,Transactions!$L$5:$L$1504,D$4)-SUMIFS(Transactions!$E$5:$E$1504,Transactions!$D$5:$D$1504,$A34,Transactions!$L$5:$L$1504,D$4))</f>
        <v/>
      </c>
      <c r="E34" s="41">
        <f>IF($A34="",0,SUMIFS(Transactions!$F$5:$F$1504,Transactions!$D$5:$D$1504,$A34,Transactions!$L$5:$L$1504,E$4)-SUMIFS(Transactions!$E$5:$E$1504,Transactions!$D$5:$D$1504,$A34,Transactions!$L$5:$L$1504,E$4))</f>
        <v/>
      </c>
      <c r="F34" s="41">
        <f>IF($A34="",0,SUMIFS(Transactions!$F$5:$F$1504,Transactions!$D$5:$D$1504,$A34,Transactions!$L$5:$L$1504,F$4)-SUMIFS(Transactions!$E$5:$E$1504,Transactions!$D$5:$D$1504,$A34,Transactions!$L$5:$L$1504,F$4))</f>
        <v/>
      </c>
      <c r="G34" s="41">
        <f>IF($A34="",0,SUMIFS(Transactions!$F$5:$F$1504,Transactions!$D$5:$D$1504,$A34,Transactions!$L$5:$L$1504,G$4)-SUMIFS(Transactions!$E$5:$E$1504,Transactions!$D$5:$D$1504,$A34,Transactions!$L$5:$L$1504,G$4))</f>
        <v/>
      </c>
      <c r="H34" s="41">
        <f>IF($A34="",0,SUMIFS(Transactions!$F$5:$F$1504,Transactions!$D$5:$D$1504,$A34,Transactions!$L$5:$L$1504,H$4)-SUMIFS(Transactions!$E$5:$E$1504,Transactions!$D$5:$D$1504,$A34,Transactions!$L$5:$L$1504,H$4))</f>
        <v/>
      </c>
      <c r="I34" s="41">
        <f>IF($A34="",0,SUMIFS(Transactions!$F$5:$F$1504,Transactions!$D$5:$D$1504,$A34,Transactions!$L$5:$L$1504,I$4)-SUMIFS(Transactions!$E$5:$E$1504,Transactions!$D$5:$D$1504,$A34,Transactions!$L$5:$L$1504,I$4))</f>
        <v/>
      </c>
      <c r="J34" s="41">
        <f>IF($A34="",0,SUMIFS(Transactions!$F$5:$F$1504,Transactions!$D$5:$D$1504,$A34,Transactions!$L$5:$L$1504,J$4)-SUMIFS(Transactions!$E$5:$E$1504,Transactions!$D$5:$D$1504,$A34,Transactions!$L$5:$L$1504,J$4))</f>
        <v/>
      </c>
      <c r="K34" s="41">
        <f>IF($A34="",0,SUMIFS(Transactions!$F$5:$F$1504,Transactions!$D$5:$D$1504,$A34,Transactions!$L$5:$L$1504,K$4)-SUMIFS(Transactions!$E$5:$E$1504,Transactions!$D$5:$D$1504,$A34,Transactions!$L$5:$L$1504,K$4))</f>
        <v/>
      </c>
      <c r="L34" s="41">
        <f>IF($A34="",0,SUMIFS(Transactions!$F$5:$F$1504,Transactions!$D$5:$D$1504,$A34,Transactions!$L$5:$L$1504,L$4)-SUMIFS(Transactions!$E$5:$E$1504,Transactions!$D$5:$D$1504,$A34,Transactions!$L$5:$L$1504,L$4))</f>
        <v/>
      </c>
      <c r="M34" s="41">
        <f>IF($A34="",0,SUMIFS(Transactions!$F$5:$F$1504,Transactions!$D$5:$D$1504,$A34,Transactions!$L$5:$L$1504,M$4)-SUMIFS(Transactions!$E$5:$E$1504,Transactions!$D$5:$D$1504,$A34,Transactions!$L$5:$L$1504,M$4))</f>
        <v/>
      </c>
      <c r="N34" s="19">
        <f>SUM(B34:M34)</f>
        <v/>
      </c>
    </row>
    <row r="35">
      <c r="A35" s="40">
        <f>IF(Setup!$A$44="","",Setup!$A$44)</f>
        <v/>
      </c>
      <c r="B35" s="41">
        <f>IF($A35="",0,SUMIFS(Transactions!$F$5:$F$1504,Transactions!$D$5:$D$1504,$A35,Transactions!$L$5:$L$1504,B$4)-SUMIFS(Transactions!$E$5:$E$1504,Transactions!$D$5:$D$1504,$A35,Transactions!$L$5:$L$1504,B$4))</f>
        <v/>
      </c>
      <c r="C35" s="41">
        <f>IF($A35="",0,SUMIFS(Transactions!$F$5:$F$1504,Transactions!$D$5:$D$1504,$A35,Transactions!$L$5:$L$1504,C$4)-SUMIFS(Transactions!$E$5:$E$1504,Transactions!$D$5:$D$1504,$A35,Transactions!$L$5:$L$1504,C$4))</f>
        <v/>
      </c>
      <c r="D35" s="41">
        <f>IF($A35="",0,SUMIFS(Transactions!$F$5:$F$1504,Transactions!$D$5:$D$1504,$A35,Transactions!$L$5:$L$1504,D$4)-SUMIFS(Transactions!$E$5:$E$1504,Transactions!$D$5:$D$1504,$A35,Transactions!$L$5:$L$1504,D$4))</f>
        <v/>
      </c>
      <c r="E35" s="41">
        <f>IF($A35="",0,SUMIFS(Transactions!$F$5:$F$1504,Transactions!$D$5:$D$1504,$A35,Transactions!$L$5:$L$1504,E$4)-SUMIFS(Transactions!$E$5:$E$1504,Transactions!$D$5:$D$1504,$A35,Transactions!$L$5:$L$1504,E$4))</f>
        <v/>
      </c>
      <c r="F35" s="41">
        <f>IF($A35="",0,SUMIFS(Transactions!$F$5:$F$1504,Transactions!$D$5:$D$1504,$A35,Transactions!$L$5:$L$1504,F$4)-SUMIFS(Transactions!$E$5:$E$1504,Transactions!$D$5:$D$1504,$A35,Transactions!$L$5:$L$1504,F$4))</f>
        <v/>
      </c>
      <c r="G35" s="41">
        <f>IF($A35="",0,SUMIFS(Transactions!$F$5:$F$1504,Transactions!$D$5:$D$1504,$A35,Transactions!$L$5:$L$1504,G$4)-SUMIFS(Transactions!$E$5:$E$1504,Transactions!$D$5:$D$1504,$A35,Transactions!$L$5:$L$1504,G$4))</f>
        <v/>
      </c>
      <c r="H35" s="41">
        <f>IF($A35="",0,SUMIFS(Transactions!$F$5:$F$1504,Transactions!$D$5:$D$1504,$A35,Transactions!$L$5:$L$1504,H$4)-SUMIFS(Transactions!$E$5:$E$1504,Transactions!$D$5:$D$1504,$A35,Transactions!$L$5:$L$1504,H$4))</f>
        <v/>
      </c>
      <c r="I35" s="41">
        <f>IF($A35="",0,SUMIFS(Transactions!$F$5:$F$1504,Transactions!$D$5:$D$1504,$A35,Transactions!$L$5:$L$1504,I$4)-SUMIFS(Transactions!$E$5:$E$1504,Transactions!$D$5:$D$1504,$A35,Transactions!$L$5:$L$1504,I$4))</f>
        <v/>
      </c>
      <c r="J35" s="41">
        <f>IF($A35="",0,SUMIFS(Transactions!$F$5:$F$1504,Transactions!$D$5:$D$1504,$A35,Transactions!$L$5:$L$1504,J$4)-SUMIFS(Transactions!$E$5:$E$1504,Transactions!$D$5:$D$1504,$A35,Transactions!$L$5:$L$1504,J$4))</f>
        <v/>
      </c>
      <c r="K35" s="41">
        <f>IF($A35="",0,SUMIFS(Transactions!$F$5:$F$1504,Transactions!$D$5:$D$1504,$A35,Transactions!$L$5:$L$1504,K$4)-SUMIFS(Transactions!$E$5:$E$1504,Transactions!$D$5:$D$1504,$A35,Transactions!$L$5:$L$1504,K$4))</f>
        <v/>
      </c>
      <c r="L35" s="41">
        <f>IF($A35="",0,SUMIFS(Transactions!$F$5:$F$1504,Transactions!$D$5:$D$1504,$A35,Transactions!$L$5:$L$1504,L$4)-SUMIFS(Transactions!$E$5:$E$1504,Transactions!$D$5:$D$1504,$A35,Transactions!$L$5:$L$1504,L$4))</f>
        <v/>
      </c>
      <c r="M35" s="41">
        <f>IF($A35="",0,SUMIFS(Transactions!$F$5:$F$1504,Transactions!$D$5:$D$1504,$A35,Transactions!$L$5:$L$1504,M$4)-SUMIFS(Transactions!$E$5:$E$1504,Transactions!$D$5:$D$1504,$A35,Transactions!$L$5:$L$1504,M$4))</f>
        <v/>
      </c>
      <c r="N35" s="19">
        <f>SUM(B35:M35)</f>
        <v/>
      </c>
    </row>
    <row r="36">
      <c r="A36" s="40">
        <f>IF(Setup!$A$45="","",Setup!$A$45)</f>
        <v/>
      </c>
      <c r="B36" s="41">
        <f>IF($A36="",0,SUMIFS(Transactions!$F$5:$F$1504,Transactions!$D$5:$D$1504,$A36,Transactions!$L$5:$L$1504,B$4)-SUMIFS(Transactions!$E$5:$E$1504,Transactions!$D$5:$D$1504,$A36,Transactions!$L$5:$L$1504,B$4))</f>
        <v/>
      </c>
      <c r="C36" s="41">
        <f>IF($A36="",0,SUMIFS(Transactions!$F$5:$F$1504,Transactions!$D$5:$D$1504,$A36,Transactions!$L$5:$L$1504,C$4)-SUMIFS(Transactions!$E$5:$E$1504,Transactions!$D$5:$D$1504,$A36,Transactions!$L$5:$L$1504,C$4))</f>
        <v/>
      </c>
      <c r="D36" s="41">
        <f>IF($A36="",0,SUMIFS(Transactions!$F$5:$F$1504,Transactions!$D$5:$D$1504,$A36,Transactions!$L$5:$L$1504,D$4)-SUMIFS(Transactions!$E$5:$E$1504,Transactions!$D$5:$D$1504,$A36,Transactions!$L$5:$L$1504,D$4))</f>
        <v/>
      </c>
      <c r="E36" s="41">
        <f>IF($A36="",0,SUMIFS(Transactions!$F$5:$F$1504,Transactions!$D$5:$D$1504,$A36,Transactions!$L$5:$L$1504,E$4)-SUMIFS(Transactions!$E$5:$E$1504,Transactions!$D$5:$D$1504,$A36,Transactions!$L$5:$L$1504,E$4))</f>
        <v/>
      </c>
      <c r="F36" s="41">
        <f>IF($A36="",0,SUMIFS(Transactions!$F$5:$F$1504,Transactions!$D$5:$D$1504,$A36,Transactions!$L$5:$L$1504,F$4)-SUMIFS(Transactions!$E$5:$E$1504,Transactions!$D$5:$D$1504,$A36,Transactions!$L$5:$L$1504,F$4))</f>
        <v/>
      </c>
      <c r="G36" s="41">
        <f>IF($A36="",0,SUMIFS(Transactions!$F$5:$F$1504,Transactions!$D$5:$D$1504,$A36,Transactions!$L$5:$L$1504,G$4)-SUMIFS(Transactions!$E$5:$E$1504,Transactions!$D$5:$D$1504,$A36,Transactions!$L$5:$L$1504,G$4))</f>
        <v/>
      </c>
      <c r="H36" s="41">
        <f>IF($A36="",0,SUMIFS(Transactions!$F$5:$F$1504,Transactions!$D$5:$D$1504,$A36,Transactions!$L$5:$L$1504,H$4)-SUMIFS(Transactions!$E$5:$E$1504,Transactions!$D$5:$D$1504,$A36,Transactions!$L$5:$L$1504,H$4))</f>
        <v/>
      </c>
      <c r="I36" s="41">
        <f>IF($A36="",0,SUMIFS(Transactions!$F$5:$F$1504,Transactions!$D$5:$D$1504,$A36,Transactions!$L$5:$L$1504,I$4)-SUMIFS(Transactions!$E$5:$E$1504,Transactions!$D$5:$D$1504,$A36,Transactions!$L$5:$L$1504,I$4))</f>
        <v/>
      </c>
      <c r="J36" s="41">
        <f>IF($A36="",0,SUMIFS(Transactions!$F$5:$F$1504,Transactions!$D$5:$D$1504,$A36,Transactions!$L$5:$L$1504,J$4)-SUMIFS(Transactions!$E$5:$E$1504,Transactions!$D$5:$D$1504,$A36,Transactions!$L$5:$L$1504,J$4))</f>
        <v/>
      </c>
      <c r="K36" s="41">
        <f>IF($A36="",0,SUMIFS(Transactions!$F$5:$F$1504,Transactions!$D$5:$D$1504,$A36,Transactions!$L$5:$L$1504,K$4)-SUMIFS(Transactions!$E$5:$E$1504,Transactions!$D$5:$D$1504,$A36,Transactions!$L$5:$L$1504,K$4))</f>
        <v/>
      </c>
      <c r="L36" s="41">
        <f>IF($A36="",0,SUMIFS(Transactions!$F$5:$F$1504,Transactions!$D$5:$D$1504,$A36,Transactions!$L$5:$L$1504,L$4)-SUMIFS(Transactions!$E$5:$E$1504,Transactions!$D$5:$D$1504,$A36,Transactions!$L$5:$L$1504,L$4))</f>
        <v/>
      </c>
      <c r="M36" s="41">
        <f>IF($A36="",0,SUMIFS(Transactions!$F$5:$F$1504,Transactions!$D$5:$D$1504,$A36,Transactions!$L$5:$L$1504,M$4)-SUMIFS(Transactions!$E$5:$E$1504,Transactions!$D$5:$D$1504,$A36,Transactions!$L$5:$L$1504,M$4))</f>
        <v/>
      </c>
      <c r="N36" s="19">
        <f>SUM(B36:M36)</f>
        <v/>
      </c>
    </row>
    <row r="37">
      <c r="A37" s="40">
        <f>IF(Setup!$A$46="","",Setup!$A$46)</f>
        <v/>
      </c>
      <c r="B37" s="41">
        <f>IF($A37="",0,SUMIFS(Transactions!$F$5:$F$1504,Transactions!$D$5:$D$1504,$A37,Transactions!$L$5:$L$1504,B$4)-SUMIFS(Transactions!$E$5:$E$1504,Transactions!$D$5:$D$1504,$A37,Transactions!$L$5:$L$1504,B$4))</f>
        <v/>
      </c>
      <c r="C37" s="41">
        <f>IF($A37="",0,SUMIFS(Transactions!$F$5:$F$1504,Transactions!$D$5:$D$1504,$A37,Transactions!$L$5:$L$1504,C$4)-SUMIFS(Transactions!$E$5:$E$1504,Transactions!$D$5:$D$1504,$A37,Transactions!$L$5:$L$1504,C$4))</f>
        <v/>
      </c>
      <c r="D37" s="41">
        <f>IF($A37="",0,SUMIFS(Transactions!$F$5:$F$1504,Transactions!$D$5:$D$1504,$A37,Transactions!$L$5:$L$1504,D$4)-SUMIFS(Transactions!$E$5:$E$1504,Transactions!$D$5:$D$1504,$A37,Transactions!$L$5:$L$1504,D$4))</f>
        <v/>
      </c>
      <c r="E37" s="41">
        <f>IF($A37="",0,SUMIFS(Transactions!$F$5:$F$1504,Transactions!$D$5:$D$1504,$A37,Transactions!$L$5:$L$1504,E$4)-SUMIFS(Transactions!$E$5:$E$1504,Transactions!$D$5:$D$1504,$A37,Transactions!$L$5:$L$1504,E$4))</f>
        <v/>
      </c>
      <c r="F37" s="41">
        <f>IF($A37="",0,SUMIFS(Transactions!$F$5:$F$1504,Transactions!$D$5:$D$1504,$A37,Transactions!$L$5:$L$1504,F$4)-SUMIFS(Transactions!$E$5:$E$1504,Transactions!$D$5:$D$1504,$A37,Transactions!$L$5:$L$1504,F$4))</f>
        <v/>
      </c>
      <c r="G37" s="41">
        <f>IF($A37="",0,SUMIFS(Transactions!$F$5:$F$1504,Transactions!$D$5:$D$1504,$A37,Transactions!$L$5:$L$1504,G$4)-SUMIFS(Transactions!$E$5:$E$1504,Transactions!$D$5:$D$1504,$A37,Transactions!$L$5:$L$1504,G$4))</f>
        <v/>
      </c>
      <c r="H37" s="41">
        <f>IF($A37="",0,SUMIFS(Transactions!$F$5:$F$1504,Transactions!$D$5:$D$1504,$A37,Transactions!$L$5:$L$1504,H$4)-SUMIFS(Transactions!$E$5:$E$1504,Transactions!$D$5:$D$1504,$A37,Transactions!$L$5:$L$1504,H$4))</f>
        <v/>
      </c>
      <c r="I37" s="41">
        <f>IF($A37="",0,SUMIFS(Transactions!$F$5:$F$1504,Transactions!$D$5:$D$1504,$A37,Transactions!$L$5:$L$1504,I$4)-SUMIFS(Transactions!$E$5:$E$1504,Transactions!$D$5:$D$1504,$A37,Transactions!$L$5:$L$1504,I$4))</f>
        <v/>
      </c>
      <c r="J37" s="41">
        <f>IF($A37="",0,SUMIFS(Transactions!$F$5:$F$1504,Transactions!$D$5:$D$1504,$A37,Transactions!$L$5:$L$1504,J$4)-SUMIFS(Transactions!$E$5:$E$1504,Transactions!$D$5:$D$1504,$A37,Transactions!$L$5:$L$1504,J$4))</f>
        <v/>
      </c>
      <c r="K37" s="41">
        <f>IF($A37="",0,SUMIFS(Transactions!$F$5:$F$1504,Transactions!$D$5:$D$1504,$A37,Transactions!$L$5:$L$1504,K$4)-SUMIFS(Transactions!$E$5:$E$1504,Transactions!$D$5:$D$1504,$A37,Transactions!$L$5:$L$1504,K$4))</f>
        <v/>
      </c>
      <c r="L37" s="41">
        <f>IF($A37="",0,SUMIFS(Transactions!$F$5:$F$1504,Transactions!$D$5:$D$1504,$A37,Transactions!$L$5:$L$1504,L$4)-SUMIFS(Transactions!$E$5:$E$1504,Transactions!$D$5:$D$1504,$A37,Transactions!$L$5:$L$1504,L$4))</f>
        <v/>
      </c>
      <c r="M37" s="41">
        <f>IF($A37="",0,SUMIFS(Transactions!$F$5:$F$1504,Transactions!$D$5:$D$1504,$A37,Transactions!$L$5:$L$1504,M$4)-SUMIFS(Transactions!$E$5:$E$1504,Transactions!$D$5:$D$1504,$A37,Transactions!$L$5:$L$1504,M$4))</f>
        <v/>
      </c>
      <c r="N37" s="19">
        <f>SUM(B37:M37)</f>
        <v/>
      </c>
    </row>
    <row r="38">
      <c r="A38" s="40">
        <f>IF(Setup!$A$47="","",Setup!$A$47)</f>
        <v/>
      </c>
      <c r="B38" s="41">
        <f>IF($A38="",0,SUMIFS(Transactions!$F$5:$F$1504,Transactions!$D$5:$D$1504,$A38,Transactions!$L$5:$L$1504,B$4)-SUMIFS(Transactions!$E$5:$E$1504,Transactions!$D$5:$D$1504,$A38,Transactions!$L$5:$L$1504,B$4))</f>
        <v/>
      </c>
      <c r="C38" s="41">
        <f>IF($A38="",0,SUMIFS(Transactions!$F$5:$F$1504,Transactions!$D$5:$D$1504,$A38,Transactions!$L$5:$L$1504,C$4)-SUMIFS(Transactions!$E$5:$E$1504,Transactions!$D$5:$D$1504,$A38,Transactions!$L$5:$L$1504,C$4))</f>
        <v/>
      </c>
      <c r="D38" s="41">
        <f>IF($A38="",0,SUMIFS(Transactions!$F$5:$F$1504,Transactions!$D$5:$D$1504,$A38,Transactions!$L$5:$L$1504,D$4)-SUMIFS(Transactions!$E$5:$E$1504,Transactions!$D$5:$D$1504,$A38,Transactions!$L$5:$L$1504,D$4))</f>
        <v/>
      </c>
      <c r="E38" s="41">
        <f>IF($A38="",0,SUMIFS(Transactions!$F$5:$F$1504,Transactions!$D$5:$D$1504,$A38,Transactions!$L$5:$L$1504,E$4)-SUMIFS(Transactions!$E$5:$E$1504,Transactions!$D$5:$D$1504,$A38,Transactions!$L$5:$L$1504,E$4))</f>
        <v/>
      </c>
      <c r="F38" s="41">
        <f>IF($A38="",0,SUMIFS(Transactions!$F$5:$F$1504,Transactions!$D$5:$D$1504,$A38,Transactions!$L$5:$L$1504,F$4)-SUMIFS(Transactions!$E$5:$E$1504,Transactions!$D$5:$D$1504,$A38,Transactions!$L$5:$L$1504,F$4))</f>
        <v/>
      </c>
      <c r="G38" s="41">
        <f>IF($A38="",0,SUMIFS(Transactions!$F$5:$F$1504,Transactions!$D$5:$D$1504,$A38,Transactions!$L$5:$L$1504,G$4)-SUMIFS(Transactions!$E$5:$E$1504,Transactions!$D$5:$D$1504,$A38,Transactions!$L$5:$L$1504,G$4))</f>
        <v/>
      </c>
      <c r="H38" s="41">
        <f>IF($A38="",0,SUMIFS(Transactions!$F$5:$F$1504,Transactions!$D$5:$D$1504,$A38,Transactions!$L$5:$L$1504,H$4)-SUMIFS(Transactions!$E$5:$E$1504,Transactions!$D$5:$D$1504,$A38,Transactions!$L$5:$L$1504,H$4))</f>
        <v/>
      </c>
      <c r="I38" s="41">
        <f>IF($A38="",0,SUMIFS(Transactions!$F$5:$F$1504,Transactions!$D$5:$D$1504,$A38,Transactions!$L$5:$L$1504,I$4)-SUMIFS(Transactions!$E$5:$E$1504,Transactions!$D$5:$D$1504,$A38,Transactions!$L$5:$L$1504,I$4))</f>
        <v/>
      </c>
      <c r="J38" s="41">
        <f>IF($A38="",0,SUMIFS(Transactions!$F$5:$F$1504,Transactions!$D$5:$D$1504,$A38,Transactions!$L$5:$L$1504,J$4)-SUMIFS(Transactions!$E$5:$E$1504,Transactions!$D$5:$D$1504,$A38,Transactions!$L$5:$L$1504,J$4))</f>
        <v/>
      </c>
      <c r="K38" s="41">
        <f>IF($A38="",0,SUMIFS(Transactions!$F$5:$F$1504,Transactions!$D$5:$D$1504,$A38,Transactions!$L$5:$L$1504,K$4)-SUMIFS(Transactions!$E$5:$E$1504,Transactions!$D$5:$D$1504,$A38,Transactions!$L$5:$L$1504,K$4))</f>
        <v/>
      </c>
      <c r="L38" s="41">
        <f>IF($A38="",0,SUMIFS(Transactions!$F$5:$F$1504,Transactions!$D$5:$D$1504,$A38,Transactions!$L$5:$L$1504,L$4)-SUMIFS(Transactions!$E$5:$E$1504,Transactions!$D$5:$D$1504,$A38,Transactions!$L$5:$L$1504,L$4))</f>
        <v/>
      </c>
      <c r="M38" s="41">
        <f>IF($A38="",0,SUMIFS(Transactions!$F$5:$F$1504,Transactions!$D$5:$D$1504,$A38,Transactions!$L$5:$L$1504,M$4)-SUMIFS(Transactions!$E$5:$E$1504,Transactions!$D$5:$D$1504,$A38,Transactions!$L$5:$L$1504,M$4))</f>
        <v/>
      </c>
      <c r="N38" s="19">
        <f>SUM(B38:M38)</f>
        <v/>
      </c>
    </row>
    <row r="39">
      <c r="A39" s="40">
        <f>IF(Setup!$A$48="","",Setup!$A$48)</f>
        <v/>
      </c>
      <c r="B39" s="41">
        <f>IF($A39="",0,SUMIFS(Transactions!$F$5:$F$1504,Transactions!$D$5:$D$1504,$A39,Transactions!$L$5:$L$1504,B$4)-SUMIFS(Transactions!$E$5:$E$1504,Transactions!$D$5:$D$1504,$A39,Transactions!$L$5:$L$1504,B$4))</f>
        <v/>
      </c>
      <c r="C39" s="41">
        <f>IF($A39="",0,SUMIFS(Transactions!$F$5:$F$1504,Transactions!$D$5:$D$1504,$A39,Transactions!$L$5:$L$1504,C$4)-SUMIFS(Transactions!$E$5:$E$1504,Transactions!$D$5:$D$1504,$A39,Transactions!$L$5:$L$1504,C$4))</f>
        <v/>
      </c>
      <c r="D39" s="41">
        <f>IF($A39="",0,SUMIFS(Transactions!$F$5:$F$1504,Transactions!$D$5:$D$1504,$A39,Transactions!$L$5:$L$1504,D$4)-SUMIFS(Transactions!$E$5:$E$1504,Transactions!$D$5:$D$1504,$A39,Transactions!$L$5:$L$1504,D$4))</f>
        <v/>
      </c>
      <c r="E39" s="41">
        <f>IF($A39="",0,SUMIFS(Transactions!$F$5:$F$1504,Transactions!$D$5:$D$1504,$A39,Transactions!$L$5:$L$1504,E$4)-SUMIFS(Transactions!$E$5:$E$1504,Transactions!$D$5:$D$1504,$A39,Transactions!$L$5:$L$1504,E$4))</f>
        <v/>
      </c>
      <c r="F39" s="41">
        <f>IF($A39="",0,SUMIFS(Transactions!$F$5:$F$1504,Transactions!$D$5:$D$1504,$A39,Transactions!$L$5:$L$1504,F$4)-SUMIFS(Transactions!$E$5:$E$1504,Transactions!$D$5:$D$1504,$A39,Transactions!$L$5:$L$1504,F$4))</f>
        <v/>
      </c>
      <c r="G39" s="41">
        <f>IF($A39="",0,SUMIFS(Transactions!$F$5:$F$1504,Transactions!$D$5:$D$1504,$A39,Transactions!$L$5:$L$1504,G$4)-SUMIFS(Transactions!$E$5:$E$1504,Transactions!$D$5:$D$1504,$A39,Transactions!$L$5:$L$1504,G$4))</f>
        <v/>
      </c>
      <c r="H39" s="41">
        <f>IF($A39="",0,SUMIFS(Transactions!$F$5:$F$1504,Transactions!$D$5:$D$1504,$A39,Transactions!$L$5:$L$1504,H$4)-SUMIFS(Transactions!$E$5:$E$1504,Transactions!$D$5:$D$1504,$A39,Transactions!$L$5:$L$1504,H$4))</f>
        <v/>
      </c>
      <c r="I39" s="41">
        <f>IF($A39="",0,SUMIFS(Transactions!$F$5:$F$1504,Transactions!$D$5:$D$1504,$A39,Transactions!$L$5:$L$1504,I$4)-SUMIFS(Transactions!$E$5:$E$1504,Transactions!$D$5:$D$1504,$A39,Transactions!$L$5:$L$1504,I$4))</f>
        <v/>
      </c>
      <c r="J39" s="41">
        <f>IF($A39="",0,SUMIFS(Transactions!$F$5:$F$1504,Transactions!$D$5:$D$1504,$A39,Transactions!$L$5:$L$1504,J$4)-SUMIFS(Transactions!$E$5:$E$1504,Transactions!$D$5:$D$1504,$A39,Transactions!$L$5:$L$1504,J$4))</f>
        <v/>
      </c>
      <c r="K39" s="41">
        <f>IF($A39="",0,SUMIFS(Transactions!$F$5:$F$1504,Transactions!$D$5:$D$1504,$A39,Transactions!$L$5:$L$1504,K$4)-SUMIFS(Transactions!$E$5:$E$1504,Transactions!$D$5:$D$1504,$A39,Transactions!$L$5:$L$1504,K$4))</f>
        <v/>
      </c>
      <c r="L39" s="41">
        <f>IF($A39="",0,SUMIFS(Transactions!$F$5:$F$1504,Transactions!$D$5:$D$1504,$A39,Transactions!$L$5:$L$1504,L$4)-SUMIFS(Transactions!$E$5:$E$1504,Transactions!$D$5:$D$1504,$A39,Transactions!$L$5:$L$1504,L$4))</f>
        <v/>
      </c>
      <c r="M39" s="41">
        <f>IF($A39="",0,SUMIFS(Transactions!$F$5:$F$1504,Transactions!$D$5:$D$1504,$A39,Transactions!$L$5:$L$1504,M$4)-SUMIFS(Transactions!$E$5:$E$1504,Transactions!$D$5:$D$1504,$A39,Transactions!$L$5:$L$1504,M$4))</f>
        <v/>
      </c>
      <c r="N39" s="19">
        <f>SUM(B39:M39)</f>
        <v/>
      </c>
    </row>
    <row r="40">
      <c r="A40" s="40">
        <f>IF(Setup!$A$49="","",Setup!$A$49)</f>
        <v/>
      </c>
      <c r="B40" s="41">
        <f>IF($A40="",0,SUMIFS(Transactions!$F$5:$F$1504,Transactions!$D$5:$D$1504,$A40,Transactions!$L$5:$L$1504,B$4)-SUMIFS(Transactions!$E$5:$E$1504,Transactions!$D$5:$D$1504,$A40,Transactions!$L$5:$L$1504,B$4))</f>
        <v/>
      </c>
      <c r="C40" s="41">
        <f>IF($A40="",0,SUMIFS(Transactions!$F$5:$F$1504,Transactions!$D$5:$D$1504,$A40,Transactions!$L$5:$L$1504,C$4)-SUMIFS(Transactions!$E$5:$E$1504,Transactions!$D$5:$D$1504,$A40,Transactions!$L$5:$L$1504,C$4))</f>
        <v/>
      </c>
      <c r="D40" s="41">
        <f>IF($A40="",0,SUMIFS(Transactions!$F$5:$F$1504,Transactions!$D$5:$D$1504,$A40,Transactions!$L$5:$L$1504,D$4)-SUMIFS(Transactions!$E$5:$E$1504,Transactions!$D$5:$D$1504,$A40,Transactions!$L$5:$L$1504,D$4))</f>
        <v/>
      </c>
      <c r="E40" s="41">
        <f>IF($A40="",0,SUMIFS(Transactions!$F$5:$F$1504,Transactions!$D$5:$D$1504,$A40,Transactions!$L$5:$L$1504,E$4)-SUMIFS(Transactions!$E$5:$E$1504,Transactions!$D$5:$D$1504,$A40,Transactions!$L$5:$L$1504,E$4))</f>
        <v/>
      </c>
      <c r="F40" s="41">
        <f>IF($A40="",0,SUMIFS(Transactions!$F$5:$F$1504,Transactions!$D$5:$D$1504,$A40,Transactions!$L$5:$L$1504,F$4)-SUMIFS(Transactions!$E$5:$E$1504,Transactions!$D$5:$D$1504,$A40,Transactions!$L$5:$L$1504,F$4))</f>
        <v/>
      </c>
      <c r="G40" s="41">
        <f>IF($A40="",0,SUMIFS(Transactions!$F$5:$F$1504,Transactions!$D$5:$D$1504,$A40,Transactions!$L$5:$L$1504,G$4)-SUMIFS(Transactions!$E$5:$E$1504,Transactions!$D$5:$D$1504,$A40,Transactions!$L$5:$L$1504,G$4))</f>
        <v/>
      </c>
      <c r="H40" s="41">
        <f>IF($A40="",0,SUMIFS(Transactions!$F$5:$F$1504,Transactions!$D$5:$D$1504,$A40,Transactions!$L$5:$L$1504,H$4)-SUMIFS(Transactions!$E$5:$E$1504,Transactions!$D$5:$D$1504,$A40,Transactions!$L$5:$L$1504,H$4))</f>
        <v/>
      </c>
      <c r="I40" s="41">
        <f>IF($A40="",0,SUMIFS(Transactions!$F$5:$F$1504,Transactions!$D$5:$D$1504,$A40,Transactions!$L$5:$L$1504,I$4)-SUMIFS(Transactions!$E$5:$E$1504,Transactions!$D$5:$D$1504,$A40,Transactions!$L$5:$L$1504,I$4))</f>
        <v/>
      </c>
      <c r="J40" s="41">
        <f>IF($A40="",0,SUMIFS(Transactions!$F$5:$F$1504,Transactions!$D$5:$D$1504,$A40,Transactions!$L$5:$L$1504,J$4)-SUMIFS(Transactions!$E$5:$E$1504,Transactions!$D$5:$D$1504,$A40,Transactions!$L$5:$L$1504,J$4))</f>
        <v/>
      </c>
      <c r="K40" s="41">
        <f>IF($A40="",0,SUMIFS(Transactions!$F$5:$F$1504,Transactions!$D$5:$D$1504,$A40,Transactions!$L$5:$L$1504,K$4)-SUMIFS(Transactions!$E$5:$E$1504,Transactions!$D$5:$D$1504,$A40,Transactions!$L$5:$L$1504,K$4))</f>
        <v/>
      </c>
      <c r="L40" s="41">
        <f>IF($A40="",0,SUMIFS(Transactions!$F$5:$F$1504,Transactions!$D$5:$D$1504,$A40,Transactions!$L$5:$L$1504,L$4)-SUMIFS(Transactions!$E$5:$E$1504,Transactions!$D$5:$D$1504,$A40,Transactions!$L$5:$L$1504,L$4))</f>
        <v/>
      </c>
      <c r="M40" s="41">
        <f>IF($A40="",0,SUMIFS(Transactions!$F$5:$F$1504,Transactions!$D$5:$D$1504,$A40,Transactions!$L$5:$L$1504,M$4)-SUMIFS(Transactions!$E$5:$E$1504,Transactions!$D$5:$D$1504,$A40,Transactions!$L$5:$L$1504,M$4))</f>
        <v/>
      </c>
      <c r="N40" s="19">
        <f>SUM(B40:M40)</f>
        <v/>
      </c>
    </row>
    <row r="41">
      <c r="A41" s="40">
        <f>IF(Setup!$A$50="","",Setup!$A$50)</f>
        <v/>
      </c>
      <c r="B41" s="41">
        <f>IF($A41="",0,SUMIFS(Transactions!$F$5:$F$1504,Transactions!$D$5:$D$1504,$A41,Transactions!$L$5:$L$1504,B$4)-SUMIFS(Transactions!$E$5:$E$1504,Transactions!$D$5:$D$1504,$A41,Transactions!$L$5:$L$1504,B$4))</f>
        <v/>
      </c>
      <c r="C41" s="41">
        <f>IF($A41="",0,SUMIFS(Transactions!$F$5:$F$1504,Transactions!$D$5:$D$1504,$A41,Transactions!$L$5:$L$1504,C$4)-SUMIFS(Transactions!$E$5:$E$1504,Transactions!$D$5:$D$1504,$A41,Transactions!$L$5:$L$1504,C$4))</f>
        <v/>
      </c>
      <c r="D41" s="41">
        <f>IF($A41="",0,SUMIFS(Transactions!$F$5:$F$1504,Transactions!$D$5:$D$1504,$A41,Transactions!$L$5:$L$1504,D$4)-SUMIFS(Transactions!$E$5:$E$1504,Transactions!$D$5:$D$1504,$A41,Transactions!$L$5:$L$1504,D$4))</f>
        <v/>
      </c>
      <c r="E41" s="41">
        <f>IF($A41="",0,SUMIFS(Transactions!$F$5:$F$1504,Transactions!$D$5:$D$1504,$A41,Transactions!$L$5:$L$1504,E$4)-SUMIFS(Transactions!$E$5:$E$1504,Transactions!$D$5:$D$1504,$A41,Transactions!$L$5:$L$1504,E$4))</f>
        <v/>
      </c>
      <c r="F41" s="41">
        <f>IF($A41="",0,SUMIFS(Transactions!$F$5:$F$1504,Transactions!$D$5:$D$1504,$A41,Transactions!$L$5:$L$1504,F$4)-SUMIFS(Transactions!$E$5:$E$1504,Transactions!$D$5:$D$1504,$A41,Transactions!$L$5:$L$1504,F$4))</f>
        <v/>
      </c>
      <c r="G41" s="41">
        <f>IF($A41="",0,SUMIFS(Transactions!$F$5:$F$1504,Transactions!$D$5:$D$1504,$A41,Transactions!$L$5:$L$1504,G$4)-SUMIFS(Transactions!$E$5:$E$1504,Transactions!$D$5:$D$1504,$A41,Transactions!$L$5:$L$1504,G$4))</f>
        <v/>
      </c>
      <c r="H41" s="41">
        <f>IF($A41="",0,SUMIFS(Transactions!$F$5:$F$1504,Transactions!$D$5:$D$1504,$A41,Transactions!$L$5:$L$1504,H$4)-SUMIFS(Transactions!$E$5:$E$1504,Transactions!$D$5:$D$1504,$A41,Transactions!$L$5:$L$1504,H$4))</f>
        <v/>
      </c>
      <c r="I41" s="41">
        <f>IF($A41="",0,SUMIFS(Transactions!$F$5:$F$1504,Transactions!$D$5:$D$1504,$A41,Transactions!$L$5:$L$1504,I$4)-SUMIFS(Transactions!$E$5:$E$1504,Transactions!$D$5:$D$1504,$A41,Transactions!$L$5:$L$1504,I$4))</f>
        <v/>
      </c>
      <c r="J41" s="41">
        <f>IF($A41="",0,SUMIFS(Transactions!$F$5:$F$1504,Transactions!$D$5:$D$1504,$A41,Transactions!$L$5:$L$1504,J$4)-SUMIFS(Transactions!$E$5:$E$1504,Transactions!$D$5:$D$1504,$A41,Transactions!$L$5:$L$1504,J$4))</f>
        <v/>
      </c>
      <c r="K41" s="41">
        <f>IF($A41="",0,SUMIFS(Transactions!$F$5:$F$1504,Transactions!$D$5:$D$1504,$A41,Transactions!$L$5:$L$1504,K$4)-SUMIFS(Transactions!$E$5:$E$1504,Transactions!$D$5:$D$1504,$A41,Transactions!$L$5:$L$1504,K$4))</f>
        <v/>
      </c>
      <c r="L41" s="41">
        <f>IF($A41="",0,SUMIFS(Transactions!$F$5:$F$1504,Transactions!$D$5:$D$1504,$A41,Transactions!$L$5:$L$1504,L$4)-SUMIFS(Transactions!$E$5:$E$1504,Transactions!$D$5:$D$1504,$A41,Transactions!$L$5:$L$1504,L$4))</f>
        <v/>
      </c>
      <c r="M41" s="41">
        <f>IF($A41="",0,SUMIFS(Transactions!$F$5:$F$1504,Transactions!$D$5:$D$1504,$A41,Transactions!$L$5:$L$1504,M$4)-SUMIFS(Transactions!$E$5:$E$1504,Transactions!$D$5:$D$1504,$A41,Transactions!$L$5:$L$1504,M$4))</f>
        <v/>
      </c>
      <c r="N41" s="19">
        <f>SUM(B41:M41)</f>
        <v/>
      </c>
    </row>
    <row r="42">
      <c r="A42" s="40">
        <f>IF(Setup!$A$51="","",Setup!$A$51)</f>
        <v/>
      </c>
      <c r="B42" s="41">
        <f>IF($A42="",0,SUMIFS(Transactions!$F$5:$F$1504,Transactions!$D$5:$D$1504,$A42,Transactions!$L$5:$L$1504,B$4)-SUMIFS(Transactions!$E$5:$E$1504,Transactions!$D$5:$D$1504,$A42,Transactions!$L$5:$L$1504,B$4))</f>
        <v/>
      </c>
      <c r="C42" s="41">
        <f>IF($A42="",0,SUMIFS(Transactions!$F$5:$F$1504,Transactions!$D$5:$D$1504,$A42,Transactions!$L$5:$L$1504,C$4)-SUMIFS(Transactions!$E$5:$E$1504,Transactions!$D$5:$D$1504,$A42,Transactions!$L$5:$L$1504,C$4))</f>
        <v/>
      </c>
      <c r="D42" s="41">
        <f>IF($A42="",0,SUMIFS(Transactions!$F$5:$F$1504,Transactions!$D$5:$D$1504,$A42,Transactions!$L$5:$L$1504,D$4)-SUMIFS(Transactions!$E$5:$E$1504,Transactions!$D$5:$D$1504,$A42,Transactions!$L$5:$L$1504,D$4))</f>
        <v/>
      </c>
      <c r="E42" s="41">
        <f>IF($A42="",0,SUMIFS(Transactions!$F$5:$F$1504,Transactions!$D$5:$D$1504,$A42,Transactions!$L$5:$L$1504,E$4)-SUMIFS(Transactions!$E$5:$E$1504,Transactions!$D$5:$D$1504,$A42,Transactions!$L$5:$L$1504,E$4))</f>
        <v/>
      </c>
      <c r="F42" s="41">
        <f>IF($A42="",0,SUMIFS(Transactions!$F$5:$F$1504,Transactions!$D$5:$D$1504,$A42,Transactions!$L$5:$L$1504,F$4)-SUMIFS(Transactions!$E$5:$E$1504,Transactions!$D$5:$D$1504,$A42,Transactions!$L$5:$L$1504,F$4))</f>
        <v/>
      </c>
      <c r="G42" s="41">
        <f>IF($A42="",0,SUMIFS(Transactions!$F$5:$F$1504,Transactions!$D$5:$D$1504,$A42,Transactions!$L$5:$L$1504,G$4)-SUMIFS(Transactions!$E$5:$E$1504,Transactions!$D$5:$D$1504,$A42,Transactions!$L$5:$L$1504,G$4))</f>
        <v/>
      </c>
      <c r="H42" s="41">
        <f>IF($A42="",0,SUMIFS(Transactions!$F$5:$F$1504,Transactions!$D$5:$D$1504,$A42,Transactions!$L$5:$L$1504,H$4)-SUMIFS(Transactions!$E$5:$E$1504,Transactions!$D$5:$D$1504,$A42,Transactions!$L$5:$L$1504,H$4))</f>
        <v/>
      </c>
      <c r="I42" s="41">
        <f>IF($A42="",0,SUMIFS(Transactions!$F$5:$F$1504,Transactions!$D$5:$D$1504,$A42,Transactions!$L$5:$L$1504,I$4)-SUMIFS(Transactions!$E$5:$E$1504,Transactions!$D$5:$D$1504,$A42,Transactions!$L$5:$L$1504,I$4))</f>
        <v/>
      </c>
      <c r="J42" s="41">
        <f>IF($A42="",0,SUMIFS(Transactions!$F$5:$F$1504,Transactions!$D$5:$D$1504,$A42,Transactions!$L$5:$L$1504,J$4)-SUMIFS(Transactions!$E$5:$E$1504,Transactions!$D$5:$D$1504,$A42,Transactions!$L$5:$L$1504,J$4))</f>
        <v/>
      </c>
      <c r="K42" s="41">
        <f>IF($A42="",0,SUMIFS(Transactions!$F$5:$F$1504,Transactions!$D$5:$D$1504,$A42,Transactions!$L$5:$L$1504,K$4)-SUMIFS(Transactions!$E$5:$E$1504,Transactions!$D$5:$D$1504,$A42,Transactions!$L$5:$L$1504,K$4))</f>
        <v/>
      </c>
      <c r="L42" s="41">
        <f>IF($A42="",0,SUMIFS(Transactions!$F$5:$F$1504,Transactions!$D$5:$D$1504,$A42,Transactions!$L$5:$L$1504,L$4)-SUMIFS(Transactions!$E$5:$E$1504,Transactions!$D$5:$D$1504,$A42,Transactions!$L$5:$L$1504,L$4))</f>
        <v/>
      </c>
      <c r="M42" s="41">
        <f>IF($A42="",0,SUMIFS(Transactions!$F$5:$F$1504,Transactions!$D$5:$D$1504,$A42,Transactions!$L$5:$L$1504,M$4)-SUMIFS(Transactions!$E$5:$E$1504,Transactions!$D$5:$D$1504,$A42,Transactions!$L$5:$L$1504,M$4))</f>
        <v/>
      </c>
      <c r="N42" s="19">
        <f>SUM(B42:M42)</f>
        <v/>
      </c>
    </row>
    <row r="43">
      <c r="A43" s="5" t="inlineStr">
        <is>
          <t>Total operating expenses</t>
        </is>
      </c>
      <c r="B43" s="42">
        <f>SUM(B25:B42)</f>
        <v/>
      </c>
      <c r="C43" s="42">
        <f>SUM(C25:C42)</f>
        <v/>
      </c>
      <c r="D43" s="42">
        <f>SUM(D25:D42)</f>
        <v/>
      </c>
      <c r="E43" s="42">
        <f>SUM(E25:E42)</f>
        <v/>
      </c>
      <c r="F43" s="42">
        <f>SUM(F25:F42)</f>
        <v/>
      </c>
      <c r="G43" s="42">
        <f>SUM(G25:G42)</f>
        <v/>
      </c>
      <c r="H43" s="42">
        <f>SUM(H25:H42)</f>
        <v/>
      </c>
      <c r="I43" s="42">
        <f>SUM(I25:I42)</f>
        <v/>
      </c>
      <c r="J43" s="42">
        <f>SUM(J25:J42)</f>
        <v/>
      </c>
      <c r="K43" s="42">
        <f>SUM(K25:K42)</f>
        <v/>
      </c>
      <c r="L43" s="42">
        <f>SUM(L25:L42)</f>
        <v/>
      </c>
      <c r="M43" s="42">
        <f>SUM(M25:M42)</f>
        <v/>
      </c>
      <c r="N43" s="42">
        <f>SUM(N25:N42)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5" t="inlineStr">
        <is>
          <t>NET PROFIT (before owner drawings &amp; tax)</t>
        </is>
      </c>
      <c r="B45" s="45">
        <f>B21-B43</f>
        <v/>
      </c>
      <c r="C45" s="45">
        <f>C21-C43</f>
        <v/>
      </c>
      <c r="D45" s="45">
        <f>D21-D43</f>
        <v/>
      </c>
      <c r="E45" s="45">
        <f>E21-E43</f>
        <v/>
      </c>
      <c r="F45" s="45">
        <f>F21-F43</f>
        <v/>
      </c>
      <c r="G45" s="45">
        <f>G21-G43</f>
        <v/>
      </c>
      <c r="H45" s="45">
        <f>H21-H43</f>
        <v/>
      </c>
      <c r="I45" s="45">
        <f>I21-I43</f>
        <v/>
      </c>
      <c r="J45" s="45">
        <f>J21-J43</f>
        <v/>
      </c>
      <c r="K45" s="45">
        <f>K21-K43</f>
        <v/>
      </c>
      <c r="L45" s="45">
        <f>L21-L43</f>
        <v/>
      </c>
      <c r="M45" s="45">
        <f>M21-M43</f>
        <v/>
      </c>
      <c r="N45" s="45">
        <f>N21-N43</f>
        <v/>
      </c>
    </row>
    <row r="46">
      <c r="A46" s="12" t="inlineStr">
        <is>
          <t>Net margin %</t>
        </is>
      </c>
      <c r="B46" s="44">
        <f>IF(B11=0,0,B45/B11)</f>
        <v/>
      </c>
      <c r="C46" s="44">
        <f>IF(C11=0,0,C45/C11)</f>
        <v/>
      </c>
      <c r="D46" s="44">
        <f>IF(D11=0,0,D45/D11)</f>
        <v/>
      </c>
      <c r="E46" s="44">
        <f>IF(E11=0,0,E45/E11)</f>
        <v/>
      </c>
      <c r="F46" s="44">
        <f>IF(F11=0,0,F45/F11)</f>
        <v/>
      </c>
      <c r="G46" s="44">
        <f>IF(G11=0,0,G45/G11)</f>
        <v/>
      </c>
      <c r="H46" s="44">
        <f>IF(H11=0,0,H45/H11)</f>
        <v/>
      </c>
      <c r="I46" s="44">
        <f>IF(I11=0,0,I45/I11)</f>
        <v/>
      </c>
      <c r="J46" s="44">
        <f>IF(J11=0,0,J45/J11)</f>
        <v/>
      </c>
      <c r="K46" s="44">
        <f>IF(K11=0,0,K45/K11)</f>
        <v/>
      </c>
      <c r="L46" s="44">
        <f>IF(L11=0,0,L45/L11)</f>
        <v/>
      </c>
      <c r="M46" s="44">
        <f>IF(M11=0,0,M45/M11)</f>
        <v/>
      </c>
      <c r="N46" s="44">
        <f>IF(N11=0,0,N45/N11)</f>
        <v/>
      </c>
    </row>
    <row r="47">
      <c r="A47" s="12" t="inlineStr">
        <is>
          <t>Suggested tax reserve (Setup %)</t>
        </is>
      </c>
      <c r="B47" s="41">
        <f>MAX(0,B45)*Setup!$B$8</f>
        <v/>
      </c>
      <c r="C47" s="41">
        <f>MAX(0,C45)*Setup!$B$8</f>
        <v/>
      </c>
      <c r="D47" s="41">
        <f>MAX(0,D45)*Setup!$B$8</f>
        <v/>
      </c>
      <c r="E47" s="41">
        <f>MAX(0,E45)*Setup!$B$8</f>
        <v/>
      </c>
      <c r="F47" s="41">
        <f>MAX(0,F45)*Setup!$B$8</f>
        <v/>
      </c>
      <c r="G47" s="41">
        <f>MAX(0,G45)*Setup!$B$8</f>
        <v/>
      </c>
      <c r="H47" s="41">
        <f>MAX(0,H45)*Setup!$B$8</f>
        <v/>
      </c>
      <c r="I47" s="41">
        <f>MAX(0,I45)*Setup!$B$8</f>
        <v/>
      </c>
      <c r="J47" s="41">
        <f>MAX(0,J45)*Setup!$B$8</f>
        <v/>
      </c>
      <c r="K47" s="41">
        <f>MAX(0,K45)*Setup!$B$8</f>
        <v/>
      </c>
      <c r="L47" s="41">
        <f>MAX(0,L45)*Setup!$B$8</f>
        <v/>
      </c>
      <c r="M47" s="41">
        <f>MAX(0,M45)*Setup!$B$8</f>
        <v/>
      </c>
      <c r="N47" s="41">
        <f>MAX(0,N45)*Setup!$B$8</f>
        <v/>
      </c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38" t="inlineStr">
        <is>
          <t>MEMO: money that is NOT profit or cost</t>
        </is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</row>
    <row r="50">
      <c r="A50" s="12" t="inlineStr">
        <is>
          <t>Owner drawings taken</t>
        </is>
      </c>
      <c r="B50" s="41">
        <f>SUMIFS(Transactions!$F$5:$F$1504,Transactions!$K$5:$K$1504,"Owner Drawings",Transactions!$L$5:$L$1504,B$4)-SUMIFS(Transactions!$E$5:$E$1504,Transactions!$K$5:$K$1504,"Owner Drawings",Transactions!$L$5:$L$1504,B$4)</f>
        <v/>
      </c>
      <c r="C50" s="41">
        <f>SUMIFS(Transactions!$F$5:$F$1504,Transactions!$K$5:$K$1504,"Owner Drawings",Transactions!$L$5:$L$1504,C$4)-SUMIFS(Transactions!$E$5:$E$1504,Transactions!$K$5:$K$1504,"Owner Drawings",Transactions!$L$5:$L$1504,C$4)</f>
        <v/>
      </c>
      <c r="D50" s="41">
        <f>SUMIFS(Transactions!$F$5:$F$1504,Transactions!$K$5:$K$1504,"Owner Drawings",Transactions!$L$5:$L$1504,D$4)-SUMIFS(Transactions!$E$5:$E$1504,Transactions!$K$5:$K$1504,"Owner Drawings",Transactions!$L$5:$L$1504,D$4)</f>
        <v/>
      </c>
      <c r="E50" s="41">
        <f>SUMIFS(Transactions!$F$5:$F$1504,Transactions!$K$5:$K$1504,"Owner Drawings",Transactions!$L$5:$L$1504,E$4)-SUMIFS(Transactions!$E$5:$E$1504,Transactions!$K$5:$K$1504,"Owner Drawings",Transactions!$L$5:$L$1504,E$4)</f>
        <v/>
      </c>
      <c r="F50" s="41">
        <f>SUMIFS(Transactions!$F$5:$F$1504,Transactions!$K$5:$K$1504,"Owner Drawings",Transactions!$L$5:$L$1504,F$4)-SUMIFS(Transactions!$E$5:$E$1504,Transactions!$K$5:$K$1504,"Owner Drawings",Transactions!$L$5:$L$1504,F$4)</f>
        <v/>
      </c>
      <c r="G50" s="41">
        <f>SUMIFS(Transactions!$F$5:$F$1504,Transactions!$K$5:$K$1504,"Owner Drawings",Transactions!$L$5:$L$1504,G$4)-SUMIFS(Transactions!$E$5:$E$1504,Transactions!$K$5:$K$1504,"Owner Drawings",Transactions!$L$5:$L$1504,G$4)</f>
        <v/>
      </c>
      <c r="H50" s="41">
        <f>SUMIFS(Transactions!$F$5:$F$1504,Transactions!$K$5:$K$1504,"Owner Drawings",Transactions!$L$5:$L$1504,H$4)-SUMIFS(Transactions!$E$5:$E$1504,Transactions!$K$5:$K$1504,"Owner Drawings",Transactions!$L$5:$L$1504,H$4)</f>
        <v/>
      </c>
      <c r="I50" s="41">
        <f>SUMIFS(Transactions!$F$5:$F$1504,Transactions!$K$5:$K$1504,"Owner Drawings",Transactions!$L$5:$L$1504,I$4)-SUMIFS(Transactions!$E$5:$E$1504,Transactions!$K$5:$K$1504,"Owner Drawings",Transactions!$L$5:$L$1504,I$4)</f>
        <v/>
      </c>
      <c r="J50" s="41">
        <f>SUMIFS(Transactions!$F$5:$F$1504,Transactions!$K$5:$K$1504,"Owner Drawings",Transactions!$L$5:$L$1504,J$4)-SUMIFS(Transactions!$E$5:$E$1504,Transactions!$K$5:$K$1504,"Owner Drawings",Transactions!$L$5:$L$1504,J$4)</f>
        <v/>
      </c>
      <c r="K50" s="41">
        <f>SUMIFS(Transactions!$F$5:$F$1504,Transactions!$K$5:$K$1504,"Owner Drawings",Transactions!$L$5:$L$1504,K$4)-SUMIFS(Transactions!$E$5:$E$1504,Transactions!$K$5:$K$1504,"Owner Drawings",Transactions!$L$5:$L$1504,K$4)</f>
        <v/>
      </c>
      <c r="L50" s="41">
        <f>SUMIFS(Transactions!$F$5:$F$1504,Transactions!$K$5:$K$1504,"Owner Drawings",Transactions!$L$5:$L$1504,L$4)-SUMIFS(Transactions!$E$5:$E$1504,Transactions!$K$5:$K$1504,"Owner Drawings",Transactions!$L$5:$L$1504,L$4)</f>
        <v/>
      </c>
      <c r="M50" s="41">
        <f>SUMIFS(Transactions!$F$5:$F$1504,Transactions!$K$5:$K$1504,"Owner Drawings",Transactions!$L$5:$L$1504,M$4)-SUMIFS(Transactions!$E$5:$E$1504,Transactions!$K$5:$K$1504,"Owner Drawings",Transactions!$L$5:$L$1504,M$4)</f>
        <v/>
      </c>
      <c r="N50" s="19">
        <f>SUM(B50:M50)</f>
        <v/>
      </c>
    </row>
    <row r="51">
      <c r="A51" s="12" t="inlineStr">
        <is>
          <t>Owner capital put in</t>
        </is>
      </c>
      <c r="B51" s="41">
        <f>SUMIFS(Transactions!$E$5:$E$1504,Transactions!$K$5:$K$1504,"Owner Capital",Transactions!$L$5:$L$1504,B$4)-SUMIFS(Transactions!$F$5:$F$1504,Transactions!$K$5:$K$1504,"Owner Capital",Transactions!$L$5:$L$1504,B$4)</f>
        <v/>
      </c>
      <c r="C51" s="41">
        <f>SUMIFS(Transactions!$E$5:$E$1504,Transactions!$K$5:$K$1504,"Owner Capital",Transactions!$L$5:$L$1504,C$4)-SUMIFS(Transactions!$F$5:$F$1504,Transactions!$K$5:$K$1504,"Owner Capital",Transactions!$L$5:$L$1504,C$4)</f>
        <v/>
      </c>
      <c r="D51" s="41">
        <f>SUMIFS(Transactions!$E$5:$E$1504,Transactions!$K$5:$K$1504,"Owner Capital",Transactions!$L$5:$L$1504,D$4)-SUMIFS(Transactions!$F$5:$F$1504,Transactions!$K$5:$K$1504,"Owner Capital",Transactions!$L$5:$L$1504,D$4)</f>
        <v/>
      </c>
      <c r="E51" s="41">
        <f>SUMIFS(Transactions!$E$5:$E$1504,Transactions!$K$5:$K$1504,"Owner Capital",Transactions!$L$5:$L$1504,E$4)-SUMIFS(Transactions!$F$5:$F$1504,Transactions!$K$5:$K$1504,"Owner Capital",Transactions!$L$5:$L$1504,E$4)</f>
        <v/>
      </c>
      <c r="F51" s="41">
        <f>SUMIFS(Transactions!$E$5:$E$1504,Transactions!$K$5:$K$1504,"Owner Capital",Transactions!$L$5:$L$1504,F$4)-SUMIFS(Transactions!$F$5:$F$1504,Transactions!$K$5:$K$1504,"Owner Capital",Transactions!$L$5:$L$1504,F$4)</f>
        <v/>
      </c>
      <c r="G51" s="41">
        <f>SUMIFS(Transactions!$E$5:$E$1504,Transactions!$K$5:$K$1504,"Owner Capital",Transactions!$L$5:$L$1504,G$4)-SUMIFS(Transactions!$F$5:$F$1504,Transactions!$K$5:$K$1504,"Owner Capital",Transactions!$L$5:$L$1504,G$4)</f>
        <v/>
      </c>
      <c r="H51" s="41">
        <f>SUMIFS(Transactions!$E$5:$E$1504,Transactions!$K$5:$K$1504,"Owner Capital",Transactions!$L$5:$L$1504,H$4)-SUMIFS(Transactions!$F$5:$F$1504,Transactions!$K$5:$K$1504,"Owner Capital",Transactions!$L$5:$L$1504,H$4)</f>
        <v/>
      </c>
      <c r="I51" s="41">
        <f>SUMIFS(Transactions!$E$5:$E$1504,Transactions!$K$5:$K$1504,"Owner Capital",Transactions!$L$5:$L$1504,I$4)-SUMIFS(Transactions!$F$5:$F$1504,Transactions!$K$5:$K$1504,"Owner Capital",Transactions!$L$5:$L$1504,I$4)</f>
        <v/>
      </c>
      <c r="J51" s="41">
        <f>SUMIFS(Transactions!$E$5:$E$1504,Transactions!$K$5:$K$1504,"Owner Capital",Transactions!$L$5:$L$1504,J$4)-SUMIFS(Transactions!$F$5:$F$1504,Transactions!$K$5:$K$1504,"Owner Capital",Transactions!$L$5:$L$1504,J$4)</f>
        <v/>
      </c>
      <c r="K51" s="41">
        <f>SUMIFS(Transactions!$E$5:$E$1504,Transactions!$K$5:$K$1504,"Owner Capital",Transactions!$L$5:$L$1504,K$4)-SUMIFS(Transactions!$F$5:$F$1504,Transactions!$K$5:$K$1504,"Owner Capital",Transactions!$L$5:$L$1504,K$4)</f>
        <v/>
      </c>
      <c r="L51" s="41">
        <f>SUMIFS(Transactions!$E$5:$E$1504,Transactions!$K$5:$K$1504,"Owner Capital",Transactions!$L$5:$L$1504,L$4)-SUMIFS(Transactions!$F$5:$F$1504,Transactions!$K$5:$K$1504,"Owner Capital",Transactions!$L$5:$L$1504,L$4)</f>
        <v/>
      </c>
      <c r="M51" s="41">
        <f>SUMIFS(Transactions!$E$5:$E$1504,Transactions!$K$5:$K$1504,"Owner Capital",Transactions!$L$5:$L$1504,M$4)-SUMIFS(Transactions!$F$5:$F$1504,Transactions!$K$5:$K$1504,"Owner Capital",Transactions!$L$5:$L$1504,M$4)</f>
        <v/>
      </c>
      <c r="N51" s="19">
        <f>SUM(B51:M51)</f>
        <v/>
      </c>
    </row>
    <row r="52">
      <c r="A52" s="12" t="inlineStr">
        <is>
          <t>Income tax / VAT / SSCL paid</t>
        </is>
      </c>
      <c r="B52" s="41">
        <f>SUMIFS(Transactions!$F$5:$F$1504,Transactions!$K$5:$K$1504,"Tax Payment",Transactions!$L$5:$L$1504,B$4)-SUMIFS(Transactions!$E$5:$E$1504,Transactions!$K$5:$K$1504,"Tax Payment",Transactions!$L$5:$L$1504,B$4)</f>
        <v/>
      </c>
      <c r="C52" s="41">
        <f>SUMIFS(Transactions!$F$5:$F$1504,Transactions!$K$5:$K$1504,"Tax Payment",Transactions!$L$5:$L$1504,C$4)-SUMIFS(Transactions!$E$5:$E$1504,Transactions!$K$5:$K$1504,"Tax Payment",Transactions!$L$5:$L$1504,C$4)</f>
        <v/>
      </c>
      <c r="D52" s="41">
        <f>SUMIFS(Transactions!$F$5:$F$1504,Transactions!$K$5:$K$1504,"Tax Payment",Transactions!$L$5:$L$1504,D$4)-SUMIFS(Transactions!$E$5:$E$1504,Transactions!$K$5:$K$1504,"Tax Payment",Transactions!$L$5:$L$1504,D$4)</f>
        <v/>
      </c>
      <c r="E52" s="41">
        <f>SUMIFS(Transactions!$F$5:$F$1504,Transactions!$K$5:$K$1504,"Tax Payment",Transactions!$L$5:$L$1504,E$4)-SUMIFS(Transactions!$E$5:$E$1504,Transactions!$K$5:$K$1504,"Tax Payment",Transactions!$L$5:$L$1504,E$4)</f>
        <v/>
      </c>
      <c r="F52" s="41">
        <f>SUMIFS(Transactions!$F$5:$F$1504,Transactions!$K$5:$K$1504,"Tax Payment",Transactions!$L$5:$L$1504,F$4)-SUMIFS(Transactions!$E$5:$E$1504,Transactions!$K$5:$K$1504,"Tax Payment",Transactions!$L$5:$L$1504,F$4)</f>
        <v/>
      </c>
      <c r="G52" s="41">
        <f>SUMIFS(Transactions!$F$5:$F$1504,Transactions!$K$5:$K$1504,"Tax Payment",Transactions!$L$5:$L$1504,G$4)-SUMIFS(Transactions!$E$5:$E$1504,Transactions!$K$5:$K$1504,"Tax Payment",Transactions!$L$5:$L$1504,G$4)</f>
        <v/>
      </c>
      <c r="H52" s="41">
        <f>SUMIFS(Transactions!$F$5:$F$1504,Transactions!$K$5:$K$1504,"Tax Payment",Transactions!$L$5:$L$1504,H$4)-SUMIFS(Transactions!$E$5:$E$1504,Transactions!$K$5:$K$1504,"Tax Payment",Transactions!$L$5:$L$1504,H$4)</f>
        <v/>
      </c>
      <c r="I52" s="41">
        <f>SUMIFS(Transactions!$F$5:$F$1504,Transactions!$K$5:$K$1504,"Tax Payment",Transactions!$L$5:$L$1504,I$4)-SUMIFS(Transactions!$E$5:$E$1504,Transactions!$K$5:$K$1504,"Tax Payment",Transactions!$L$5:$L$1504,I$4)</f>
        <v/>
      </c>
      <c r="J52" s="41">
        <f>SUMIFS(Transactions!$F$5:$F$1504,Transactions!$K$5:$K$1504,"Tax Payment",Transactions!$L$5:$L$1504,J$4)-SUMIFS(Transactions!$E$5:$E$1504,Transactions!$K$5:$K$1504,"Tax Payment",Transactions!$L$5:$L$1504,J$4)</f>
        <v/>
      </c>
      <c r="K52" s="41">
        <f>SUMIFS(Transactions!$F$5:$F$1504,Transactions!$K$5:$K$1504,"Tax Payment",Transactions!$L$5:$L$1504,K$4)-SUMIFS(Transactions!$E$5:$E$1504,Transactions!$K$5:$K$1504,"Tax Payment",Transactions!$L$5:$L$1504,K$4)</f>
        <v/>
      </c>
      <c r="L52" s="41">
        <f>SUMIFS(Transactions!$F$5:$F$1504,Transactions!$K$5:$K$1504,"Tax Payment",Transactions!$L$5:$L$1504,L$4)-SUMIFS(Transactions!$E$5:$E$1504,Transactions!$K$5:$K$1504,"Tax Payment",Transactions!$L$5:$L$1504,L$4)</f>
        <v/>
      </c>
      <c r="M52" s="41">
        <f>SUMIFS(Transactions!$F$5:$F$1504,Transactions!$K$5:$K$1504,"Tax Payment",Transactions!$L$5:$L$1504,M$4)-SUMIFS(Transactions!$E$5:$E$1504,Transactions!$K$5:$K$1504,"Tax Payment",Transactions!$L$5:$L$1504,M$4)</f>
        <v/>
      </c>
      <c r="N52" s="19">
        <f>SUM(B52:M52)</f>
        <v/>
      </c>
    </row>
    <row r="53">
      <c r="A53" s="12" t="inlineStr">
        <is>
          <t>Equipment &amp; assets bought</t>
        </is>
      </c>
      <c r="B53" s="41">
        <f>SUMIFS(Transactions!$F$5:$F$1504,Transactions!$K$5:$K$1504,"Asset Purchase",Transactions!$L$5:$L$1504,B$4)-SUMIFS(Transactions!$E$5:$E$1504,Transactions!$K$5:$K$1504,"Asset Purchase",Transactions!$L$5:$L$1504,B$4)</f>
        <v/>
      </c>
      <c r="C53" s="41">
        <f>SUMIFS(Transactions!$F$5:$F$1504,Transactions!$K$5:$K$1504,"Asset Purchase",Transactions!$L$5:$L$1504,C$4)-SUMIFS(Transactions!$E$5:$E$1504,Transactions!$K$5:$K$1504,"Asset Purchase",Transactions!$L$5:$L$1504,C$4)</f>
        <v/>
      </c>
      <c r="D53" s="41">
        <f>SUMIFS(Transactions!$F$5:$F$1504,Transactions!$K$5:$K$1504,"Asset Purchase",Transactions!$L$5:$L$1504,D$4)-SUMIFS(Transactions!$E$5:$E$1504,Transactions!$K$5:$K$1504,"Asset Purchase",Transactions!$L$5:$L$1504,D$4)</f>
        <v/>
      </c>
      <c r="E53" s="41">
        <f>SUMIFS(Transactions!$F$5:$F$1504,Transactions!$K$5:$K$1504,"Asset Purchase",Transactions!$L$5:$L$1504,E$4)-SUMIFS(Transactions!$E$5:$E$1504,Transactions!$K$5:$K$1504,"Asset Purchase",Transactions!$L$5:$L$1504,E$4)</f>
        <v/>
      </c>
      <c r="F53" s="41">
        <f>SUMIFS(Transactions!$F$5:$F$1504,Transactions!$K$5:$K$1504,"Asset Purchase",Transactions!$L$5:$L$1504,F$4)-SUMIFS(Transactions!$E$5:$E$1504,Transactions!$K$5:$K$1504,"Asset Purchase",Transactions!$L$5:$L$1504,F$4)</f>
        <v/>
      </c>
      <c r="G53" s="41">
        <f>SUMIFS(Transactions!$F$5:$F$1504,Transactions!$K$5:$K$1504,"Asset Purchase",Transactions!$L$5:$L$1504,G$4)-SUMIFS(Transactions!$E$5:$E$1504,Transactions!$K$5:$K$1504,"Asset Purchase",Transactions!$L$5:$L$1504,G$4)</f>
        <v/>
      </c>
      <c r="H53" s="41">
        <f>SUMIFS(Transactions!$F$5:$F$1504,Transactions!$K$5:$K$1504,"Asset Purchase",Transactions!$L$5:$L$1504,H$4)-SUMIFS(Transactions!$E$5:$E$1504,Transactions!$K$5:$K$1504,"Asset Purchase",Transactions!$L$5:$L$1504,H$4)</f>
        <v/>
      </c>
      <c r="I53" s="41">
        <f>SUMIFS(Transactions!$F$5:$F$1504,Transactions!$K$5:$K$1504,"Asset Purchase",Transactions!$L$5:$L$1504,I$4)-SUMIFS(Transactions!$E$5:$E$1504,Transactions!$K$5:$K$1504,"Asset Purchase",Transactions!$L$5:$L$1504,I$4)</f>
        <v/>
      </c>
      <c r="J53" s="41">
        <f>SUMIFS(Transactions!$F$5:$F$1504,Transactions!$K$5:$K$1504,"Asset Purchase",Transactions!$L$5:$L$1504,J$4)-SUMIFS(Transactions!$E$5:$E$1504,Transactions!$K$5:$K$1504,"Asset Purchase",Transactions!$L$5:$L$1504,J$4)</f>
        <v/>
      </c>
      <c r="K53" s="41">
        <f>SUMIFS(Transactions!$F$5:$F$1504,Transactions!$K$5:$K$1504,"Asset Purchase",Transactions!$L$5:$L$1504,K$4)-SUMIFS(Transactions!$E$5:$E$1504,Transactions!$K$5:$K$1504,"Asset Purchase",Transactions!$L$5:$L$1504,K$4)</f>
        <v/>
      </c>
      <c r="L53" s="41">
        <f>SUMIFS(Transactions!$F$5:$F$1504,Transactions!$K$5:$K$1504,"Asset Purchase",Transactions!$L$5:$L$1504,L$4)-SUMIFS(Transactions!$E$5:$E$1504,Transactions!$K$5:$K$1504,"Asset Purchase",Transactions!$L$5:$L$1504,L$4)</f>
        <v/>
      </c>
      <c r="M53" s="41">
        <f>SUMIFS(Transactions!$F$5:$F$1504,Transactions!$K$5:$K$1504,"Asset Purchase",Transactions!$L$5:$L$1504,M$4)-SUMIFS(Transactions!$E$5:$E$1504,Transactions!$K$5:$K$1504,"Asset Purchase",Transactions!$L$5:$L$1504,M$4)</f>
        <v/>
      </c>
      <c r="N53" s="19">
        <f>SUM(B53:M53)</f>
        <v/>
      </c>
    </row>
    <row r="54">
      <c r="A54" s="12" t="inlineStr">
        <is>
          <t>Loans received</t>
        </is>
      </c>
      <c r="B54" s="41">
        <f>SUMIFS(Transactions!$E$5:$E$1504,Transactions!$K$5:$K$1504,"Loan In",Transactions!$L$5:$L$1504,B$4)-SUMIFS(Transactions!$F$5:$F$1504,Transactions!$K$5:$K$1504,"Loan In",Transactions!$L$5:$L$1504,B$4)</f>
        <v/>
      </c>
      <c r="C54" s="41">
        <f>SUMIFS(Transactions!$E$5:$E$1504,Transactions!$K$5:$K$1504,"Loan In",Transactions!$L$5:$L$1504,C$4)-SUMIFS(Transactions!$F$5:$F$1504,Transactions!$K$5:$K$1504,"Loan In",Transactions!$L$5:$L$1504,C$4)</f>
        <v/>
      </c>
      <c r="D54" s="41">
        <f>SUMIFS(Transactions!$E$5:$E$1504,Transactions!$K$5:$K$1504,"Loan In",Transactions!$L$5:$L$1504,D$4)-SUMIFS(Transactions!$F$5:$F$1504,Transactions!$K$5:$K$1504,"Loan In",Transactions!$L$5:$L$1504,D$4)</f>
        <v/>
      </c>
      <c r="E54" s="41">
        <f>SUMIFS(Transactions!$E$5:$E$1504,Transactions!$K$5:$K$1504,"Loan In",Transactions!$L$5:$L$1504,E$4)-SUMIFS(Transactions!$F$5:$F$1504,Transactions!$K$5:$K$1504,"Loan In",Transactions!$L$5:$L$1504,E$4)</f>
        <v/>
      </c>
      <c r="F54" s="41">
        <f>SUMIFS(Transactions!$E$5:$E$1504,Transactions!$K$5:$K$1504,"Loan In",Transactions!$L$5:$L$1504,F$4)-SUMIFS(Transactions!$F$5:$F$1504,Transactions!$K$5:$K$1504,"Loan In",Transactions!$L$5:$L$1504,F$4)</f>
        <v/>
      </c>
      <c r="G54" s="41">
        <f>SUMIFS(Transactions!$E$5:$E$1504,Transactions!$K$5:$K$1504,"Loan In",Transactions!$L$5:$L$1504,G$4)-SUMIFS(Transactions!$F$5:$F$1504,Transactions!$K$5:$K$1504,"Loan In",Transactions!$L$5:$L$1504,G$4)</f>
        <v/>
      </c>
      <c r="H54" s="41">
        <f>SUMIFS(Transactions!$E$5:$E$1504,Transactions!$K$5:$K$1504,"Loan In",Transactions!$L$5:$L$1504,H$4)-SUMIFS(Transactions!$F$5:$F$1504,Transactions!$K$5:$K$1504,"Loan In",Transactions!$L$5:$L$1504,H$4)</f>
        <v/>
      </c>
      <c r="I54" s="41">
        <f>SUMIFS(Transactions!$E$5:$E$1504,Transactions!$K$5:$K$1504,"Loan In",Transactions!$L$5:$L$1504,I$4)-SUMIFS(Transactions!$F$5:$F$1504,Transactions!$K$5:$K$1504,"Loan In",Transactions!$L$5:$L$1504,I$4)</f>
        <v/>
      </c>
      <c r="J54" s="41">
        <f>SUMIFS(Transactions!$E$5:$E$1504,Transactions!$K$5:$K$1504,"Loan In",Transactions!$L$5:$L$1504,J$4)-SUMIFS(Transactions!$F$5:$F$1504,Transactions!$K$5:$K$1504,"Loan In",Transactions!$L$5:$L$1504,J$4)</f>
        <v/>
      </c>
      <c r="K54" s="41">
        <f>SUMIFS(Transactions!$E$5:$E$1504,Transactions!$K$5:$K$1504,"Loan In",Transactions!$L$5:$L$1504,K$4)-SUMIFS(Transactions!$F$5:$F$1504,Transactions!$K$5:$K$1504,"Loan In",Transactions!$L$5:$L$1504,K$4)</f>
        <v/>
      </c>
      <c r="L54" s="41">
        <f>SUMIFS(Transactions!$E$5:$E$1504,Transactions!$K$5:$K$1504,"Loan In",Transactions!$L$5:$L$1504,L$4)-SUMIFS(Transactions!$F$5:$F$1504,Transactions!$K$5:$K$1504,"Loan In",Transactions!$L$5:$L$1504,L$4)</f>
        <v/>
      </c>
      <c r="M54" s="41">
        <f>SUMIFS(Transactions!$E$5:$E$1504,Transactions!$K$5:$K$1504,"Loan In",Transactions!$L$5:$L$1504,M$4)-SUMIFS(Transactions!$F$5:$F$1504,Transactions!$K$5:$K$1504,"Loan In",Transactions!$L$5:$L$1504,M$4)</f>
        <v/>
      </c>
      <c r="N54" s="19">
        <f>SUM(B54:M54)</f>
        <v/>
      </c>
    </row>
    <row r="55">
      <c r="A55" s="12" t="inlineStr">
        <is>
          <t>Loan repayments</t>
        </is>
      </c>
      <c r="B55" s="41">
        <f>SUMIFS(Transactions!$F$5:$F$1504,Transactions!$K$5:$K$1504,"Loan Repayment",Transactions!$L$5:$L$1504,B$4)-SUMIFS(Transactions!$E$5:$E$1504,Transactions!$K$5:$K$1504,"Loan Repayment",Transactions!$L$5:$L$1504,B$4)</f>
        <v/>
      </c>
      <c r="C55" s="41">
        <f>SUMIFS(Transactions!$F$5:$F$1504,Transactions!$K$5:$K$1504,"Loan Repayment",Transactions!$L$5:$L$1504,C$4)-SUMIFS(Transactions!$E$5:$E$1504,Transactions!$K$5:$K$1504,"Loan Repayment",Transactions!$L$5:$L$1504,C$4)</f>
        <v/>
      </c>
      <c r="D55" s="41">
        <f>SUMIFS(Transactions!$F$5:$F$1504,Transactions!$K$5:$K$1504,"Loan Repayment",Transactions!$L$5:$L$1504,D$4)-SUMIFS(Transactions!$E$5:$E$1504,Transactions!$K$5:$K$1504,"Loan Repayment",Transactions!$L$5:$L$1504,D$4)</f>
        <v/>
      </c>
      <c r="E55" s="41">
        <f>SUMIFS(Transactions!$F$5:$F$1504,Transactions!$K$5:$K$1504,"Loan Repayment",Transactions!$L$5:$L$1504,E$4)-SUMIFS(Transactions!$E$5:$E$1504,Transactions!$K$5:$K$1504,"Loan Repayment",Transactions!$L$5:$L$1504,E$4)</f>
        <v/>
      </c>
      <c r="F55" s="41">
        <f>SUMIFS(Transactions!$F$5:$F$1504,Transactions!$K$5:$K$1504,"Loan Repayment",Transactions!$L$5:$L$1504,F$4)-SUMIFS(Transactions!$E$5:$E$1504,Transactions!$K$5:$K$1504,"Loan Repayment",Transactions!$L$5:$L$1504,F$4)</f>
        <v/>
      </c>
      <c r="G55" s="41">
        <f>SUMIFS(Transactions!$F$5:$F$1504,Transactions!$K$5:$K$1504,"Loan Repayment",Transactions!$L$5:$L$1504,G$4)-SUMIFS(Transactions!$E$5:$E$1504,Transactions!$K$5:$K$1504,"Loan Repayment",Transactions!$L$5:$L$1504,G$4)</f>
        <v/>
      </c>
      <c r="H55" s="41">
        <f>SUMIFS(Transactions!$F$5:$F$1504,Transactions!$K$5:$K$1504,"Loan Repayment",Transactions!$L$5:$L$1504,H$4)-SUMIFS(Transactions!$E$5:$E$1504,Transactions!$K$5:$K$1504,"Loan Repayment",Transactions!$L$5:$L$1504,H$4)</f>
        <v/>
      </c>
      <c r="I55" s="41">
        <f>SUMIFS(Transactions!$F$5:$F$1504,Transactions!$K$5:$K$1504,"Loan Repayment",Transactions!$L$5:$L$1504,I$4)-SUMIFS(Transactions!$E$5:$E$1504,Transactions!$K$5:$K$1504,"Loan Repayment",Transactions!$L$5:$L$1504,I$4)</f>
        <v/>
      </c>
      <c r="J55" s="41">
        <f>SUMIFS(Transactions!$F$5:$F$1504,Transactions!$K$5:$K$1504,"Loan Repayment",Transactions!$L$5:$L$1504,J$4)-SUMIFS(Transactions!$E$5:$E$1504,Transactions!$K$5:$K$1504,"Loan Repayment",Transactions!$L$5:$L$1504,J$4)</f>
        <v/>
      </c>
      <c r="K55" s="41">
        <f>SUMIFS(Transactions!$F$5:$F$1504,Transactions!$K$5:$K$1504,"Loan Repayment",Transactions!$L$5:$L$1504,K$4)-SUMIFS(Transactions!$E$5:$E$1504,Transactions!$K$5:$K$1504,"Loan Repayment",Transactions!$L$5:$L$1504,K$4)</f>
        <v/>
      </c>
      <c r="L55" s="41">
        <f>SUMIFS(Transactions!$F$5:$F$1504,Transactions!$K$5:$K$1504,"Loan Repayment",Transactions!$L$5:$L$1504,L$4)-SUMIFS(Transactions!$E$5:$E$1504,Transactions!$K$5:$K$1504,"Loan Repayment",Transactions!$L$5:$L$1504,L$4)</f>
        <v/>
      </c>
      <c r="M55" s="41">
        <f>SUMIFS(Transactions!$F$5:$F$1504,Transactions!$K$5:$K$1504,"Loan Repayment",Transactions!$L$5:$L$1504,M$4)-SUMIFS(Transactions!$E$5:$E$1504,Transactions!$K$5:$K$1504,"Loan Repayment",Transactions!$L$5:$L$1504,M$4)</f>
        <v/>
      </c>
      <c r="N55" s="19">
        <f>SUM(B55:M55)</f>
        <v/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3" t="inlineStr">
        <is>
          <t>How to read this: Revenue − Direct costs = Gross profit. Gross profit − Overheads = Net profit. Owner drawings and tax come OUT of net profit; they are shown in the memo, not as costs.</t>
        </is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</sheetData>
  <conditionalFormatting sqref="B45:N4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N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1" t="inlineStr">
        <is>
          <t>Cash Flow: where did the money actually go?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3" t="inlineStr">
        <is>
          <t>Profit is an opinion, cash is a fact. Closing cash should match your real bank + cash balances.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30" customHeight="1">
      <c r="A4" s="18" t="inlineStr">
        <is>
          <t>Rs</t>
        </is>
      </c>
      <c r="B4" s="37">
        <f>'Monthly P&amp;L'!B4</f>
        <v/>
      </c>
      <c r="C4" s="37">
        <f>'Monthly P&amp;L'!C4</f>
        <v/>
      </c>
      <c r="D4" s="37">
        <f>'Monthly P&amp;L'!D4</f>
        <v/>
      </c>
      <c r="E4" s="37">
        <f>'Monthly P&amp;L'!E4</f>
        <v/>
      </c>
      <c r="F4" s="37">
        <f>'Monthly P&amp;L'!F4</f>
        <v/>
      </c>
      <c r="G4" s="37">
        <f>'Monthly P&amp;L'!G4</f>
        <v/>
      </c>
      <c r="H4" s="37">
        <f>'Monthly P&amp;L'!H4</f>
        <v/>
      </c>
      <c r="I4" s="37">
        <f>'Monthly P&amp;L'!I4</f>
        <v/>
      </c>
      <c r="J4" s="37">
        <f>'Monthly P&amp;L'!J4</f>
        <v/>
      </c>
      <c r="K4" s="37">
        <f>'Monthly P&amp;L'!K4</f>
        <v/>
      </c>
      <c r="L4" s="37">
        <f>'Monthly P&amp;L'!L4</f>
        <v/>
      </c>
      <c r="M4" s="37">
        <f>'Monthly P&amp;L'!M4</f>
        <v/>
      </c>
      <c r="N4" s="18" t="inlineStr">
        <is>
          <t>FY total</t>
        </is>
      </c>
    </row>
    <row r="5">
      <c r="A5" s="5" t="inlineStr">
        <is>
          <t>Opening cash (all accounts)</t>
        </is>
      </c>
      <c r="B5" s="19">
        <f>Setup!$B$20</f>
        <v/>
      </c>
      <c r="C5" s="19">
        <f>B22</f>
        <v/>
      </c>
      <c r="D5" s="19">
        <f>C22</f>
        <v/>
      </c>
      <c r="E5" s="19">
        <f>D22</f>
        <v/>
      </c>
      <c r="F5" s="19">
        <f>E22</f>
        <v/>
      </c>
      <c r="G5" s="19">
        <f>F22</f>
        <v/>
      </c>
      <c r="H5" s="19">
        <f>G22</f>
        <v/>
      </c>
      <c r="I5" s="19">
        <f>H22</f>
        <v/>
      </c>
      <c r="J5" s="19">
        <f>I22</f>
        <v/>
      </c>
      <c r="K5" s="19">
        <f>J22</f>
        <v/>
      </c>
      <c r="L5" s="19">
        <f>K22</f>
        <v/>
      </c>
      <c r="M5" s="19">
        <f>L22</f>
        <v/>
      </c>
      <c r="N5" s="1" t="n"/>
    </row>
    <row r="6">
      <c r="A6" s="4" t="inlineStr">
        <is>
          <t>CASH IN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2" t="inlineStr">
        <is>
          <t>From clients (revenue)</t>
        </is>
      </c>
      <c r="B7" s="41">
        <f>SUMIFS(Transactions!$E$5:$E$1504,Transactions!$K$5:$K$1504,"Income",Transactions!$L$5:$L$1504,B$4)</f>
        <v/>
      </c>
      <c r="C7" s="41">
        <f>SUMIFS(Transactions!$E$5:$E$1504,Transactions!$K$5:$K$1504,"Income",Transactions!$L$5:$L$1504,C$4)</f>
        <v/>
      </c>
      <c r="D7" s="41">
        <f>SUMIFS(Transactions!$E$5:$E$1504,Transactions!$K$5:$K$1504,"Income",Transactions!$L$5:$L$1504,D$4)</f>
        <v/>
      </c>
      <c r="E7" s="41">
        <f>SUMIFS(Transactions!$E$5:$E$1504,Transactions!$K$5:$K$1504,"Income",Transactions!$L$5:$L$1504,E$4)</f>
        <v/>
      </c>
      <c r="F7" s="41">
        <f>SUMIFS(Transactions!$E$5:$E$1504,Transactions!$K$5:$K$1504,"Income",Transactions!$L$5:$L$1504,F$4)</f>
        <v/>
      </c>
      <c r="G7" s="41">
        <f>SUMIFS(Transactions!$E$5:$E$1504,Transactions!$K$5:$K$1504,"Income",Transactions!$L$5:$L$1504,G$4)</f>
        <v/>
      </c>
      <c r="H7" s="41">
        <f>SUMIFS(Transactions!$E$5:$E$1504,Transactions!$K$5:$K$1504,"Income",Transactions!$L$5:$L$1504,H$4)</f>
        <v/>
      </c>
      <c r="I7" s="41">
        <f>SUMIFS(Transactions!$E$5:$E$1504,Transactions!$K$5:$K$1504,"Income",Transactions!$L$5:$L$1504,I$4)</f>
        <v/>
      </c>
      <c r="J7" s="41">
        <f>SUMIFS(Transactions!$E$5:$E$1504,Transactions!$K$5:$K$1504,"Income",Transactions!$L$5:$L$1504,J$4)</f>
        <v/>
      </c>
      <c r="K7" s="41">
        <f>SUMIFS(Transactions!$E$5:$E$1504,Transactions!$K$5:$K$1504,"Income",Transactions!$L$5:$L$1504,K$4)</f>
        <v/>
      </c>
      <c r="L7" s="41">
        <f>SUMIFS(Transactions!$E$5:$E$1504,Transactions!$K$5:$K$1504,"Income",Transactions!$L$5:$L$1504,L$4)</f>
        <v/>
      </c>
      <c r="M7" s="41">
        <f>SUMIFS(Transactions!$E$5:$E$1504,Transactions!$K$5:$K$1504,"Income",Transactions!$L$5:$L$1504,M$4)</f>
        <v/>
      </c>
      <c r="N7" s="19">
        <f>SUM(B7:M7)</f>
        <v/>
      </c>
    </row>
    <row r="8">
      <c r="A8" s="12" t="inlineStr">
        <is>
          <t>Refunds on costs</t>
        </is>
      </c>
      <c r="B8" s="41">
        <f>SUMIFS(Transactions!$E$5:$E$1504,Transactions!$K$5:$K$1504,"Direct Cost",Transactions!$L$5:$L$1504,B$4)+SUMIFS(Transactions!$E$5:$E$1504,Transactions!$K$5:$K$1504,"Operating Expense",Transactions!$L$5:$L$1504,B$4)+SUMIFS(Transactions!$E$5:$E$1504,Transactions!$K$5:$K$1504,"Asset Purchase",Transactions!$L$5:$L$1504,B$4)+SUMIFS(Transactions!$E$5:$E$1504,Transactions!$K$5:$K$1504,"Tax Payment",Transactions!$L$5:$L$1504,B$4)</f>
        <v/>
      </c>
      <c r="C8" s="41">
        <f>SUMIFS(Transactions!$E$5:$E$1504,Transactions!$K$5:$K$1504,"Direct Cost",Transactions!$L$5:$L$1504,C$4)+SUMIFS(Transactions!$E$5:$E$1504,Transactions!$K$5:$K$1504,"Operating Expense",Transactions!$L$5:$L$1504,C$4)+SUMIFS(Transactions!$E$5:$E$1504,Transactions!$K$5:$K$1504,"Asset Purchase",Transactions!$L$5:$L$1504,C$4)+SUMIFS(Transactions!$E$5:$E$1504,Transactions!$K$5:$K$1504,"Tax Payment",Transactions!$L$5:$L$1504,C$4)</f>
        <v/>
      </c>
      <c r="D8" s="41">
        <f>SUMIFS(Transactions!$E$5:$E$1504,Transactions!$K$5:$K$1504,"Direct Cost",Transactions!$L$5:$L$1504,D$4)+SUMIFS(Transactions!$E$5:$E$1504,Transactions!$K$5:$K$1504,"Operating Expense",Transactions!$L$5:$L$1504,D$4)+SUMIFS(Transactions!$E$5:$E$1504,Transactions!$K$5:$K$1504,"Asset Purchase",Transactions!$L$5:$L$1504,D$4)+SUMIFS(Transactions!$E$5:$E$1504,Transactions!$K$5:$K$1504,"Tax Payment",Transactions!$L$5:$L$1504,D$4)</f>
        <v/>
      </c>
      <c r="E8" s="41">
        <f>SUMIFS(Transactions!$E$5:$E$1504,Transactions!$K$5:$K$1504,"Direct Cost",Transactions!$L$5:$L$1504,E$4)+SUMIFS(Transactions!$E$5:$E$1504,Transactions!$K$5:$K$1504,"Operating Expense",Transactions!$L$5:$L$1504,E$4)+SUMIFS(Transactions!$E$5:$E$1504,Transactions!$K$5:$K$1504,"Asset Purchase",Transactions!$L$5:$L$1504,E$4)+SUMIFS(Transactions!$E$5:$E$1504,Transactions!$K$5:$K$1504,"Tax Payment",Transactions!$L$5:$L$1504,E$4)</f>
        <v/>
      </c>
      <c r="F8" s="41">
        <f>SUMIFS(Transactions!$E$5:$E$1504,Transactions!$K$5:$K$1504,"Direct Cost",Transactions!$L$5:$L$1504,F$4)+SUMIFS(Transactions!$E$5:$E$1504,Transactions!$K$5:$K$1504,"Operating Expense",Transactions!$L$5:$L$1504,F$4)+SUMIFS(Transactions!$E$5:$E$1504,Transactions!$K$5:$K$1504,"Asset Purchase",Transactions!$L$5:$L$1504,F$4)+SUMIFS(Transactions!$E$5:$E$1504,Transactions!$K$5:$K$1504,"Tax Payment",Transactions!$L$5:$L$1504,F$4)</f>
        <v/>
      </c>
      <c r="G8" s="41">
        <f>SUMIFS(Transactions!$E$5:$E$1504,Transactions!$K$5:$K$1504,"Direct Cost",Transactions!$L$5:$L$1504,G$4)+SUMIFS(Transactions!$E$5:$E$1504,Transactions!$K$5:$K$1504,"Operating Expense",Transactions!$L$5:$L$1504,G$4)+SUMIFS(Transactions!$E$5:$E$1504,Transactions!$K$5:$K$1504,"Asset Purchase",Transactions!$L$5:$L$1504,G$4)+SUMIFS(Transactions!$E$5:$E$1504,Transactions!$K$5:$K$1504,"Tax Payment",Transactions!$L$5:$L$1504,G$4)</f>
        <v/>
      </c>
      <c r="H8" s="41">
        <f>SUMIFS(Transactions!$E$5:$E$1504,Transactions!$K$5:$K$1504,"Direct Cost",Transactions!$L$5:$L$1504,H$4)+SUMIFS(Transactions!$E$5:$E$1504,Transactions!$K$5:$K$1504,"Operating Expense",Transactions!$L$5:$L$1504,H$4)+SUMIFS(Transactions!$E$5:$E$1504,Transactions!$K$5:$K$1504,"Asset Purchase",Transactions!$L$5:$L$1504,H$4)+SUMIFS(Transactions!$E$5:$E$1504,Transactions!$K$5:$K$1504,"Tax Payment",Transactions!$L$5:$L$1504,H$4)</f>
        <v/>
      </c>
      <c r="I8" s="41">
        <f>SUMIFS(Transactions!$E$5:$E$1504,Transactions!$K$5:$K$1504,"Direct Cost",Transactions!$L$5:$L$1504,I$4)+SUMIFS(Transactions!$E$5:$E$1504,Transactions!$K$5:$K$1504,"Operating Expense",Transactions!$L$5:$L$1504,I$4)+SUMIFS(Transactions!$E$5:$E$1504,Transactions!$K$5:$K$1504,"Asset Purchase",Transactions!$L$5:$L$1504,I$4)+SUMIFS(Transactions!$E$5:$E$1504,Transactions!$K$5:$K$1504,"Tax Payment",Transactions!$L$5:$L$1504,I$4)</f>
        <v/>
      </c>
      <c r="J8" s="41">
        <f>SUMIFS(Transactions!$E$5:$E$1504,Transactions!$K$5:$K$1504,"Direct Cost",Transactions!$L$5:$L$1504,J$4)+SUMIFS(Transactions!$E$5:$E$1504,Transactions!$K$5:$K$1504,"Operating Expense",Transactions!$L$5:$L$1504,J$4)+SUMIFS(Transactions!$E$5:$E$1504,Transactions!$K$5:$K$1504,"Asset Purchase",Transactions!$L$5:$L$1504,J$4)+SUMIFS(Transactions!$E$5:$E$1504,Transactions!$K$5:$K$1504,"Tax Payment",Transactions!$L$5:$L$1504,J$4)</f>
        <v/>
      </c>
      <c r="K8" s="41">
        <f>SUMIFS(Transactions!$E$5:$E$1504,Transactions!$K$5:$K$1504,"Direct Cost",Transactions!$L$5:$L$1504,K$4)+SUMIFS(Transactions!$E$5:$E$1504,Transactions!$K$5:$K$1504,"Operating Expense",Transactions!$L$5:$L$1504,K$4)+SUMIFS(Transactions!$E$5:$E$1504,Transactions!$K$5:$K$1504,"Asset Purchase",Transactions!$L$5:$L$1504,K$4)+SUMIFS(Transactions!$E$5:$E$1504,Transactions!$K$5:$K$1504,"Tax Payment",Transactions!$L$5:$L$1504,K$4)</f>
        <v/>
      </c>
      <c r="L8" s="41">
        <f>SUMIFS(Transactions!$E$5:$E$1504,Transactions!$K$5:$K$1504,"Direct Cost",Transactions!$L$5:$L$1504,L$4)+SUMIFS(Transactions!$E$5:$E$1504,Transactions!$K$5:$K$1504,"Operating Expense",Transactions!$L$5:$L$1504,L$4)+SUMIFS(Transactions!$E$5:$E$1504,Transactions!$K$5:$K$1504,"Asset Purchase",Transactions!$L$5:$L$1504,L$4)+SUMIFS(Transactions!$E$5:$E$1504,Transactions!$K$5:$K$1504,"Tax Payment",Transactions!$L$5:$L$1504,L$4)</f>
        <v/>
      </c>
      <c r="M8" s="41">
        <f>SUMIFS(Transactions!$E$5:$E$1504,Transactions!$K$5:$K$1504,"Direct Cost",Transactions!$L$5:$L$1504,M$4)+SUMIFS(Transactions!$E$5:$E$1504,Transactions!$K$5:$K$1504,"Operating Expense",Transactions!$L$5:$L$1504,M$4)+SUMIFS(Transactions!$E$5:$E$1504,Transactions!$K$5:$K$1504,"Asset Purchase",Transactions!$L$5:$L$1504,M$4)+SUMIFS(Transactions!$E$5:$E$1504,Transactions!$K$5:$K$1504,"Tax Payment",Transactions!$L$5:$L$1504,M$4)</f>
        <v/>
      </c>
      <c r="N8" s="19">
        <f>SUM(B8:M8)</f>
        <v/>
      </c>
    </row>
    <row r="9">
      <c r="A9" s="12" t="inlineStr">
        <is>
          <t>Owner capital put in</t>
        </is>
      </c>
      <c r="B9" s="41">
        <f>SUMIFS(Transactions!$E$5:$E$1504,Transactions!$K$5:$K$1504,"Owner Capital",Transactions!$L$5:$L$1504,B$4)</f>
        <v/>
      </c>
      <c r="C9" s="41">
        <f>SUMIFS(Transactions!$E$5:$E$1504,Transactions!$K$5:$K$1504,"Owner Capital",Transactions!$L$5:$L$1504,C$4)</f>
        <v/>
      </c>
      <c r="D9" s="41">
        <f>SUMIFS(Transactions!$E$5:$E$1504,Transactions!$K$5:$K$1504,"Owner Capital",Transactions!$L$5:$L$1504,D$4)</f>
        <v/>
      </c>
      <c r="E9" s="41">
        <f>SUMIFS(Transactions!$E$5:$E$1504,Transactions!$K$5:$K$1504,"Owner Capital",Transactions!$L$5:$L$1504,E$4)</f>
        <v/>
      </c>
      <c r="F9" s="41">
        <f>SUMIFS(Transactions!$E$5:$E$1504,Transactions!$K$5:$K$1504,"Owner Capital",Transactions!$L$5:$L$1504,F$4)</f>
        <v/>
      </c>
      <c r="G9" s="41">
        <f>SUMIFS(Transactions!$E$5:$E$1504,Transactions!$K$5:$K$1504,"Owner Capital",Transactions!$L$5:$L$1504,G$4)</f>
        <v/>
      </c>
      <c r="H9" s="41">
        <f>SUMIFS(Transactions!$E$5:$E$1504,Transactions!$K$5:$K$1504,"Owner Capital",Transactions!$L$5:$L$1504,H$4)</f>
        <v/>
      </c>
      <c r="I9" s="41">
        <f>SUMIFS(Transactions!$E$5:$E$1504,Transactions!$K$5:$K$1504,"Owner Capital",Transactions!$L$5:$L$1504,I$4)</f>
        <v/>
      </c>
      <c r="J9" s="41">
        <f>SUMIFS(Transactions!$E$5:$E$1504,Transactions!$K$5:$K$1504,"Owner Capital",Transactions!$L$5:$L$1504,J$4)</f>
        <v/>
      </c>
      <c r="K9" s="41">
        <f>SUMIFS(Transactions!$E$5:$E$1504,Transactions!$K$5:$K$1504,"Owner Capital",Transactions!$L$5:$L$1504,K$4)</f>
        <v/>
      </c>
      <c r="L9" s="41">
        <f>SUMIFS(Transactions!$E$5:$E$1504,Transactions!$K$5:$K$1504,"Owner Capital",Transactions!$L$5:$L$1504,L$4)</f>
        <v/>
      </c>
      <c r="M9" s="41">
        <f>SUMIFS(Transactions!$E$5:$E$1504,Transactions!$K$5:$K$1504,"Owner Capital",Transactions!$L$5:$L$1504,M$4)</f>
        <v/>
      </c>
      <c r="N9" s="19">
        <f>SUM(B9:M9)</f>
        <v/>
      </c>
    </row>
    <row r="10">
      <c r="A10" s="12" t="inlineStr">
        <is>
          <t>Loans received</t>
        </is>
      </c>
      <c r="B10" s="41">
        <f>SUMIFS(Transactions!$E$5:$E$1504,Transactions!$K$5:$K$1504,"Loan In",Transactions!$L$5:$L$1504,B$4)</f>
        <v/>
      </c>
      <c r="C10" s="41">
        <f>SUMIFS(Transactions!$E$5:$E$1504,Transactions!$K$5:$K$1504,"Loan In",Transactions!$L$5:$L$1504,C$4)</f>
        <v/>
      </c>
      <c r="D10" s="41">
        <f>SUMIFS(Transactions!$E$5:$E$1504,Transactions!$K$5:$K$1504,"Loan In",Transactions!$L$5:$L$1504,D$4)</f>
        <v/>
      </c>
      <c r="E10" s="41">
        <f>SUMIFS(Transactions!$E$5:$E$1504,Transactions!$K$5:$K$1504,"Loan In",Transactions!$L$5:$L$1504,E$4)</f>
        <v/>
      </c>
      <c r="F10" s="41">
        <f>SUMIFS(Transactions!$E$5:$E$1504,Transactions!$K$5:$K$1504,"Loan In",Transactions!$L$5:$L$1504,F$4)</f>
        <v/>
      </c>
      <c r="G10" s="41">
        <f>SUMIFS(Transactions!$E$5:$E$1504,Transactions!$K$5:$K$1504,"Loan In",Transactions!$L$5:$L$1504,G$4)</f>
        <v/>
      </c>
      <c r="H10" s="41">
        <f>SUMIFS(Transactions!$E$5:$E$1504,Transactions!$K$5:$K$1504,"Loan In",Transactions!$L$5:$L$1504,H$4)</f>
        <v/>
      </c>
      <c r="I10" s="41">
        <f>SUMIFS(Transactions!$E$5:$E$1504,Transactions!$K$5:$K$1504,"Loan In",Transactions!$L$5:$L$1504,I$4)</f>
        <v/>
      </c>
      <c r="J10" s="41">
        <f>SUMIFS(Transactions!$E$5:$E$1504,Transactions!$K$5:$K$1504,"Loan In",Transactions!$L$5:$L$1504,J$4)</f>
        <v/>
      </c>
      <c r="K10" s="41">
        <f>SUMIFS(Transactions!$E$5:$E$1504,Transactions!$K$5:$K$1504,"Loan In",Transactions!$L$5:$L$1504,K$4)</f>
        <v/>
      </c>
      <c r="L10" s="41">
        <f>SUMIFS(Transactions!$E$5:$E$1504,Transactions!$K$5:$K$1504,"Loan In",Transactions!$L$5:$L$1504,L$4)</f>
        <v/>
      </c>
      <c r="M10" s="41">
        <f>SUMIFS(Transactions!$E$5:$E$1504,Transactions!$K$5:$K$1504,"Loan In",Transactions!$L$5:$L$1504,M$4)</f>
        <v/>
      </c>
      <c r="N10" s="19">
        <f>SUM(B10:M10)</f>
        <v/>
      </c>
    </row>
    <row r="11">
      <c r="A11" s="5" t="inlineStr">
        <is>
          <t>Total cash in</t>
        </is>
      </c>
      <c r="B11" s="42">
        <f>SUM(B7:B10)</f>
        <v/>
      </c>
      <c r="C11" s="42">
        <f>SUM(C7:C10)</f>
        <v/>
      </c>
      <c r="D11" s="42">
        <f>SUM(D7:D10)</f>
        <v/>
      </c>
      <c r="E11" s="42">
        <f>SUM(E7:E10)</f>
        <v/>
      </c>
      <c r="F11" s="42">
        <f>SUM(F7:F10)</f>
        <v/>
      </c>
      <c r="G11" s="42">
        <f>SUM(G7:G10)</f>
        <v/>
      </c>
      <c r="H11" s="42">
        <f>SUM(H7:H10)</f>
        <v/>
      </c>
      <c r="I11" s="42">
        <f>SUM(I7:I10)</f>
        <v/>
      </c>
      <c r="J11" s="42">
        <f>SUM(J7:J10)</f>
        <v/>
      </c>
      <c r="K11" s="42">
        <f>SUM(K7:K10)</f>
        <v/>
      </c>
      <c r="L11" s="42">
        <f>SUM(L7:L10)</f>
        <v/>
      </c>
      <c r="M11" s="42">
        <f>SUM(M7:M10)</f>
        <v/>
      </c>
      <c r="N11" s="19">
        <f>SUM(B11:M11)</f>
        <v/>
      </c>
    </row>
    <row r="12">
      <c r="A12" s="4" t="inlineStr">
        <is>
          <t>CASH OUT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2" t="inlineStr">
        <is>
          <t>Direct costs paid</t>
        </is>
      </c>
      <c r="B13" s="41">
        <f>SUMIFS(Transactions!$F$5:$F$1504,Transactions!$K$5:$K$1504,"Direct Cost",Transactions!$L$5:$L$1504,B$4)</f>
        <v/>
      </c>
      <c r="C13" s="41">
        <f>SUMIFS(Transactions!$F$5:$F$1504,Transactions!$K$5:$K$1504,"Direct Cost",Transactions!$L$5:$L$1504,C$4)</f>
        <v/>
      </c>
      <c r="D13" s="41">
        <f>SUMIFS(Transactions!$F$5:$F$1504,Transactions!$K$5:$K$1504,"Direct Cost",Transactions!$L$5:$L$1504,D$4)</f>
        <v/>
      </c>
      <c r="E13" s="41">
        <f>SUMIFS(Transactions!$F$5:$F$1504,Transactions!$K$5:$K$1504,"Direct Cost",Transactions!$L$5:$L$1504,E$4)</f>
        <v/>
      </c>
      <c r="F13" s="41">
        <f>SUMIFS(Transactions!$F$5:$F$1504,Transactions!$K$5:$K$1504,"Direct Cost",Transactions!$L$5:$L$1504,F$4)</f>
        <v/>
      </c>
      <c r="G13" s="41">
        <f>SUMIFS(Transactions!$F$5:$F$1504,Transactions!$K$5:$K$1504,"Direct Cost",Transactions!$L$5:$L$1504,G$4)</f>
        <v/>
      </c>
      <c r="H13" s="41">
        <f>SUMIFS(Transactions!$F$5:$F$1504,Transactions!$K$5:$K$1504,"Direct Cost",Transactions!$L$5:$L$1504,H$4)</f>
        <v/>
      </c>
      <c r="I13" s="41">
        <f>SUMIFS(Transactions!$F$5:$F$1504,Transactions!$K$5:$K$1504,"Direct Cost",Transactions!$L$5:$L$1504,I$4)</f>
        <v/>
      </c>
      <c r="J13" s="41">
        <f>SUMIFS(Transactions!$F$5:$F$1504,Transactions!$K$5:$K$1504,"Direct Cost",Transactions!$L$5:$L$1504,J$4)</f>
        <v/>
      </c>
      <c r="K13" s="41">
        <f>SUMIFS(Transactions!$F$5:$F$1504,Transactions!$K$5:$K$1504,"Direct Cost",Transactions!$L$5:$L$1504,K$4)</f>
        <v/>
      </c>
      <c r="L13" s="41">
        <f>SUMIFS(Transactions!$F$5:$F$1504,Transactions!$K$5:$K$1504,"Direct Cost",Transactions!$L$5:$L$1504,L$4)</f>
        <v/>
      </c>
      <c r="M13" s="41">
        <f>SUMIFS(Transactions!$F$5:$F$1504,Transactions!$K$5:$K$1504,"Direct Cost",Transactions!$L$5:$L$1504,M$4)</f>
        <v/>
      </c>
      <c r="N13" s="19">
        <f>SUM(B13:M13)</f>
        <v/>
      </c>
    </row>
    <row r="14">
      <c r="A14" s="12" t="inlineStr">
        <is>
          <t>Overheads paid</t>
        </is>
      </c>
      <c r="B14" s="41">
        <f>SUMIFS(Transactions!$F$5:$F$1504,Transactions!$K$5:$K$1504,"Operating Expense",Transactions!$L$5:$L$1504,B$4)</f>
        <v/>
      </c>
      <c r="C14" s="41">
        <f>SUMIFS(Transactions!$F$5:$F$1504,Transactions!$K$5:$K$1504,"Operating Expense",Transactions!$L$5:$L$1504,C$4)</f>
        <v/>
      </c>
      <c r="D14" s="41">
        <f>SUMIFS(Transactions!$F$5:$F$1504,Transactions!$K$5:$K$1504,"Operating Expense",Transactions!$L$5:$L$1504,D$4)</f>
        <v/>
      </c>
      <c r="E14" s="41">
        <f>SUMIFS(Transactions!$F$5:$F$1504,Transactions!$K$5:$K$1504,"Operating Expense",Transactions!$L$5:$L$1504,E$4)</f>
        <v/>
      </c>
      <c r="F14" s="41">
        <f>SUMIFS(Transactions!$F$5:$F$1504,Transactions!$K$5:$K$1504,"Operating Expense",Transactions!$L$5:$L$1504,F$4)</f>
        <v/>
      </c>
      <c r="G14" s="41">
        <f>SUMIFS(Transactions!$F$5:$F$1504,Transactions!$K$5:$K$1504,"Operating Expense",Transactions!$L$5:$L$1504,G$4)</f>
        <v/>
      </c>
      <c r="H14" s="41">
        <f>SUMIFS(Transactions!$F$5:$F$1504,Transactions!$K$5:$K$1504,"Operating Expense",Transactions!$L$5:$L$1504,H$4)</f>
        <v/>
      </c>
      <c r="I14" s="41">
        <f>SUMIFS(Transactions!$F$5:$F$1504,Transactions!$K$5:$K$1504,"Operating Expense",Transactions!$L$5:$L$1504,I$4)</f>
        <v/>
      </c>
      <c r="J14" s="41">
        <f>SUMIFS(Transactions!$F$5:$F$1504,Transactions!$K$5:$K$1504,"Operating Expense",Transactions!$L$5:$L$1504,J$4)</f>
        <v/>
      </c>
      <c r="K14" s="41">
        <f>SUMIFS(Transactions!$F$5:$F$1504,Transactions!$K$5:$K$1504,"Operating Expense",Transactions!$L$5:$L$1504,K$4)</f>
        <v/>
      </c>
      <c r="L14" s="41">
        <f>SUMIFS(Transactions!$F$5:$F$1504,Transactions!$K$5:$K$1504,"Operating Expense",Transactions!$L$5:$L$1504,L$4)</f>
        <v/>
      </c>
      <c r="M14" s="41">
        <f>SUMIFS(Transactions!$F$5:$F$1504,Transactions!$K$5:$K$1504,"Operating Expense",Transactions!$L$5:$L$1504,M$4)</f>
        <v/>
      </c>
      <c r="N14" s="19">
        <f>SUM(B14:M14)</f>
        <v/>
      </c>
    </row>
    <row r="15">
      <c r="A15" s="12" t="inlineStr">
        <is>
          <t>Owner drawings</t>
        </is>
      </c>
      <c r="B15" s="41">
        <f>SUMIFS(Transactions!$F$5:$F$1504,Transactions!$K$5:$K$1504,"Owner Drawings",Transactions!$L$5:$L$1504,B$4)</f>
        <v/>
      </c>
      <c r="C15" s="41">
        <f>SUMIFS(Transactions!$F$5:$F$1504,Transactions!$K$5:$K$1504,"Owner Drawings",Transactions!$L$5:$L$1504,C$4)</f>
        <v/>
      </c>
      <c r="D15" s="41">
        <f>SUMIFS(Transactions!$F$5:$F$1504,Transactions!$K$5:$K$1504,"Owner Drawings",Transactions!$L$5:$L$1504,D$4)</f>
        <v/>
      </c>
      <c r="E15" s="41">
        <f>SUMIFS(Transactions!$F$5:$F$1504,Transactions!$K$5:$K$1504,"Owner Drawings",Transactions!$L$5:$L$1504,E$4)</f>
        <v/>
      </c>
      <c r="F15" s="41">
        <f>SUMIFS(Transactions!$F$5:$F$1504,Transactions!$K$5:$K$1504,"Owner Drawings",Transactions!$L$5:$L$1504,F$4)</f>
        <v/>
      </c>
      <c r="G15" s="41">
        <f>SUMIFS(Transactions!$F$5:$F$1504,Transactions!$K$5:$K$1504,"Owner Drawings",Transactions!$L$5:$L$1504,G$4)</f>
        <v/>
      </c>
      <c r="H15" s="41">
        <f>SUMIFS(Transactions!$F$5:$F$1504,Transactions!$K$5:$K$1504,"Owner Drawings",Transactions!$L$5:$L$1504,H$4)</f>
        <v/>
      </c>
      <c r="I15" s="41">
        <f>SUMIFS(Transactions!$F$5:$F$1504,Transactions!$K$5:$K$1504,"Owner Drawings",Transactions!$L$5:$L$1504,I$4)</f>
        <v/>
      </c>
      <c r="J15" s="41">
        <f>SUMIFS(Transactions!$F$5:$F$1504,Transactions!$K$5:$K$1504,"Owner Drawings",Transactions!$L$5:$L$1504,J$4)</f>
        <v/>
      </c>
      <c r="K15" s="41">
        <f>SUMIFS(Transactions!$F$5:$F$1504,Transactions!$K$5:$K$1504,"Owner Drawings",Transactions!$L$5:$L$1504,K$4)</f>
        <v/>
      </c>
      <c r="L15" s="41">
        <f>SUMIFS(Transactions!$F$5:$F$1504,Transactions!$K$5:$K$1504,"Owner Drawings",Transactions!$L$5:$L$1504,L$4)</f>
        <v/>
      </c>
      <c r="M15" s="41">
        <f>SUMIFS(Transactions!$F$5:$F$1504,Transactions!$K$5:$K$1504,"Owner Drawings",Transactions!$L$5:$L$1504,M$4)</f>
        <v/>
      </c>
      <c r="N15" s="19">
        <f>SUM(B15:M15)</f>
        <v/>
      </c>
    </row>
    <row r="16">
      <c r="A16" s="12" t="inlineStr">
        <is>
          <t>Tax paid</t>
        </is>
      </c>
      <c r="B16" s="41">
        <f>SUMIFS(Transactions!$F$5:$F$1504,Transactions!$K$5:$K$1504,"Tax Payment",Transactions!$L$5:$L$1504,B$4)</f>
        <v/>
      </c>
      <c r="C16" s="41">
        <f>SUMIFS(Transactions!$F$5:$F$1504,Transactions!$K$5:$K$1504,"Tax Payment",Transactions!$L$5:$L$1504,C$4)</f>
        <v/>
      </c>
      <c r="D16" s="41">
        <f>SUMIFS(Transactions!$F$5:$F$1504,Transactions!$K$5:$K$1504,"Tax Payment",Transactions!$L$5:$L$1504,D$4)</f>
        <v/>
      </c>
      <c r="E16" s="41">
        <f>SUMIFS(Transactions!$F$5:$F$1504,Transactions!$K$5:$K$1504,"Tax Payment",Transactions!$L$5:$L$1504,E$4)</f>
        <v/>
      </c>
      <c r="F16" s="41">
        <f>SUMIFS(Transactions!$F$5:$F$1504,Transactions!$K$5:$K$1504,"Tax Payment",Transactions!$L$5:$L$1504,F$4)</f>
        <v/>
      </c>
      <c r="G16" s="41">
        <f>SUMIFS(Transactions!$F$5:$F$1504,Transactions!$K$5:$K$1504,"Tax Payment",Transactions!$L$5:$L$1504,G$4)</f>
        <v/>
      </c>
      <c r="H16" s="41">
        <f>SUMIFS(Transactions!$F$5:$F$1504,Transactions!$K$5:$K$1504,"Tax Payment",Transactions!$L$5:$L$1504,H$4)</f>
        <v/>
      </c>
      <c r="I16" s="41">
        <f>SUMIFS(Transactions!$F$5:$F$1504,Transactions!$K$5:$K$1504,"Tax Payment",Transactions!$L$5:$L$1504,I$4)</f>
        <v/>
      </c>
      <c r="J16" s="41">
        <f>SUMIFS(Transactions!$F$5:$F$1504,Transactions!$K$5:$K$1504,"Tax Payment",Transactions!$L$5:$L$1504,J$4)</f>
        <v/>
      </c>
      <c r="K16" s="41">
        <f>SUMIFS(Transactions!$F$5:$F$1504,Transactions!$K$5:$K$1504,"Tax Payment",Transactions!$L$5:$L$1504,K$4)</f>
        <v/>
      </c>
      <c r="L16" s="41">
        <f>SUMIFS(Transactions!$F$5:$F$1504,Transactions!$K$5:$K$1504,"Tax Payment",Transactions!$L$5:$L$1504,L$4)</f>
        <v/>
      </c>
      <c r="M16" s="41">
        <f>SUMIFS(Transactions!$F$5:$F$1504,Transactions!$K$5:$K$1504,"Tax Payment",Transactions!$L$5:$L$1504,M$4)</f>
        <v/>
      </c>
      <c r="N16" s="19">
        <f>SUM(B16:M16)</f>
        <v/>
      </c>
    </row>
    <row r="17">
      <c r="A17" s="12" t="inlineStr">
        <is>
          <t>Equipment &amp; assets</t>
        </is>
      </c>
      <c r="B17" s="41">
        <f>SUMIFS(Transactions!$F$5:$F$1504,Transactions!$K$5:$K$1504,"Asset Purchase",Transactions!$L$5:$L$1504,B$4)</f>
        <v/>
      </c>
      <c r="C17" s="41">
        <f>SUMIFS(Transactions!$F$5:$F$1504,Transactions!$K$5:$K$1504,"Asset Purchase",Transactions!$L$5:$L$1504,C$4)</f>
        <v/>
      </c>
      <c r="D17" s="41">
        <f>SUMIFS(Transactions!$F$5:$F$1504,Transactions!$K$5:$K$1504,"Asset Purchase",Transactions!$L$5:$L$1504,D$4)</f>
        <v/>
      </c>
      <c r="E17" s="41">
        <f>SUMIFS(Transactions!$F$5:$F$1504,Transactions!$K$5:$K$1504,"Asset Purchase",Transactions!$L$5:$L$1504,E$4)</f>
        <v/>
      </c>
      <c r="F17" s="41">
        <f>SUMIFS(Transactions!$F$5:$F$1504,Transactions!$K$5:$K$1504,"Asset Purchase",Transactions!$L$5:$L$1504,F$4)</f>
        <v/>
      </c>
      <c r="G17" s="41">
        <f>SUMIFS(Transactions!$F$5:$F$1504,Transactions!$K$5:$K$1504,"Asset Purchase",Transactions!$L$5:$L$1504,G$4)</f>
        <v/>
      </c>
      <c r="H17" s="41">
        <f>SUMIFS(Transactions!$F$5:$F$1504,Transactions!$K$5:$K$1504,"Asset Purchase",Transactions!$L$5:$L$1504,H$4)</f>
        <v/>
      </c>
      <c r="I17" s="41">
        <f>SUMIFS(Transactions!$F$5:$F$1504,Transactions!$K$5:$K$1504,"Asset Purchase",Transactions!$L$5:$L$1504,I$4)</f>
        <v/>
      </c>
      <c r="J17" s="41">
        <f>SUMIFS(Transactions!$F$5:$F$1504,Transactions!$K$5:$K$1504,"Asset Purchase",Transactions!$L$5:$L$1504,J$4)</f>
        <v/>
      </c>
      <c r="K17" s="41">
        <f>SUMIFS(Transactions!$F$5:$F$1504,Transactions!$K$5:$K$1504,"Asset Purchase",Transactions!$L$5:$L$1504,K$4)</f>
        <v/>
      </c>
      <c r="L17" s="41">
        <f>SUMIFS(Transactions!$F$5:$F$1504,Transactions!$K$5:$K$1504,"Asset Purchase",Transactions!$L$5:$L$1504,L$4)</f>
        <v/>
      </c>
      <c r="M17" s="41">
        <f>SUMIFS(Transactions!$F$5:$F$1504,Transactions!$K$5:$K$1504,"Asset Purchase",Transactions!$L$5:$L$1504,M$4)</f>
        <v/>
      </c>
      <c r="N17" s="19">
        <f>SUM(B17:M17)</f>
        <v/>
      </c>
    </row>
    <row r="18">
      <c r="A18" s="12" t="inlineStr">
        <is>
          <t>Loan repayments</t>
        </is>
      </c>
      <c r="B18" s="41">
        <f>SUMIFS(Transactions!$F$5:$F$1504,Transactions!$K$5:$K$1504,"Loan Repayment",Transactions!$L$5:$L$1504,B$4)</f>
        <v/>
      </c>
      <c r="C18" s="41">
        <f>SUMIFS(Transactions!$F$5:$F$1504,Transactions!$K$5:$K$1504,"Loan Repayment",Transactions!$L$5:$L$1504,C$4)</f>
        <v/>
      </c>
      <c r="D18" s="41">
        <f>SUMIFS(Transactions!$F$5:$F$1504,Transactions!$K$5:$K$1504,"Loan Repayment",Transactions!$L$5:$L$1504,D$4)</f>
        <v/>
      </c>
      <c r="E18" s="41">
        <f>SUMIFS(Transactions!$F$5:$F$1504,Transactions!$K$5:$K$1504,"Loan Repayment",Transactions!$L$5:$L$1504,E$4)</f>
        <v/>
      </c>
      <c r="F18" s="41">
        <f>SUMIFS(Transactions!$F$5:$F$1504,Transactions!$K$5:$K$1504,"Loan Repayment",Transactions!$L$5:$L$1504,F$4)</f>
        <v/>
      </c>
      <c r="G18" s="41">
        <f>SUMIFS(Transactions!$F$5:$F$1504,Transactions!$K$5:$K$1504,"Loan Repayment",Transactions!$L$5:$L$1504,G$4)</f>
        <v/>
      </c>
      <c r="H18" s="41">
        <f>SUMIFS(Transactions!$F$5:$F$1504,Transactions!$K$5:$K$1504,"Loan Repayment",Transactions!$L$5:$L$1504,H$4)</f>
        <v/>
      </c>
      <c r="I18" s="41">
        <f>SUMIFS(Transactions!$F$5:$F$1504,Transactions!$K$5:$K$1504,"Loan Repayment",Transactions!$L$5:$L$1504,I$4)</f>
        <v/>
      </c>
      <c r="J18" s="41">
        <f>SUMIFS(Transactions!$F$5:$F$1504,Transactions!$K$5:$K$1504,"Loan Repayment",Transactions!$L$5:$L$1504,J$4)</f>
        <v/>
      </c>
      <c r="K18" s="41">
        <f>SUMIFS(Transactions!$F$5:$F$1504,Transactions!$K$5:$K$1504,"Loan Repayment",Transactions!$L$5:$L$1504,K$4)</f>
        <v/>
      </c>
      <c r="L18" s="41">
        <f>SUMIFS(Transactions!$F$5:$F$1504,Transactions!$K$5:$K$1504,"Loan Repayment",Transactions!$L$5:$L$1504,L$4)</f>
        <v/>
      </c>
      <c r="M18" s="41">
        <f>SUMIFS(Transactions!$F$5:$F$1504,Transactions!$K$5:$K$1504,"Loan Repayment",Transactions!$L$5:$L$1504,M$4)</f>
        <v/>
      </c>
      <c r="N18" s="19">
        <f>SUM(B18:M18)</f>
        <v/>
      </c>
    </row>
    <row r="19">
      <c r="A19" s="12" t="inlineStr">
        <is>
          <t>Refunds to clients</t>
        </is>
      </c>
      <c r="B19" s="41">
        <f>SUMIFS(Transactions!$F$5:$F$1504,Transactions!$K$5:$K$1504,"Income",Transactions!$L$5:$L$1504,B$4)</f>
        <v/>
      </c>
      <c r="C19" s="41">
        <f>SUMIFS(Transactions!$F$5:$F$1504,Transactions!$K$5:$K$1504,"Income",Transactions!$L$5:$L$1504,C$4)</f>
        <v/>
      </c>
      <c r="D19" s="41">
        <f>SUMIFS(Transactions!$F$5:$F$1504,Transactions!$K$5:$K$1504,"Income",Transactions!$L$5:$L$1504,D$4)</f>
        <v/>
      </c>
      <c r="E19" s="41">
        <f>SUMIFS(Transactions!$F$5:$F$1504,Transactions!$K$5:$K$1504,"Income",Transactions!$L$5:$L$1504,E$4)</f>
        <v/>
      </c>
      <c r="F19" s="41">
        <f>SUMIFS(Transactions!$F$5:$F$1504,Transactions!$K$5:$K$1504,"Income",Transactions!$L$5:$L$1504,F$4)</f>
        <v/>
      </c>
      <c r="G19" s="41">
        <f>SUMIFS(Transactions!$F$5:$F$1504,Transactions!$K$5:$K$1504,"Income",Transactions!$L$5:$L$1504,G$4)</f>
        <v/>
      </c>
      <c r="H19" s="41">
        <f>SUMIFS(Transactions!$F$5:$F$1504,Transactions!$K$5:$K$1504,"Income",Transactions!$L$5:$L$1504,H$4)</f>
        <v/>
      </c>
      <c r="I19" s="41">
        <f>SUMIFS(Transactions!$F$5:$F$1504,Transactions!$K$5:$K$1504,"Income",Transactions!$L$5:$L$1504,I$4)</f>
        <v/>
      </c>
      <c r="J19" s="41">
        <f>SUMIFS(Transactions!$F$5:$F$1504,Transactions!$K$5:$K$1504,"Income",Transactions!$L$5:$L$1504,J$4)</f>
        <v/>
      </c>
      <c r="K19" s="41">
        <f>SUMIFS(Transactions!$F$5:$F$1504,Transactions!$K$5:$K$1504,"Income",Transactions!$L$5:$L$1504,K$4)</f>
        <v/>
      </c>
      <c r="L19" s="41">
        <f>SUMIFS(Transactions!$F$5:$F$1504,Transactions!$K$5:$K$1504,"Income",Transactions!$L$5:$L$1504,L$4)</f>
        <v/>
      </c>
      <c r="M19" s="41">
        <f>SUMIFS(Transactions!$F$5:$F$1504,Transactions!$K$5:$K$1504,"Income",Transactions!$L$5:$L$1504,M$4)</f>
        <v/>
      </c>
      <c r="N19" s="19">
        <f>SUM(B19:M19)</f>
        <v/>
      </c>
    </row>
    <row r="20">
      <c r="A20" s="5" t="inlineStr">
        <is>
          <t>Total cash out</t>
        </is>
      </c>
      <c r="B20" s="42">
        <f>SUM(B13:B19)</f>
        <v/>
      </c>
      <c r="C20" s="42">
        <f>SUM(C13:C19)</f>
        <v/>
      </c>
      <c r="D20" s="42">
        <f>SUM(D13:D19)</f>
        <v/>
      </c>
      <c r="E20" s="42">
        <f>SUM(E13:E19)</f>
        <v/>
      </c>
      <c r="F20" s="42">
        <f>SUM(F13:F19)</f>
        <v/>
      </c>
      <c r="G20" s="42">
        <f>SUM(G13:G19)</f>
        <v/>
      </c>
      <c r="H20" s="42">
        <f>SUM(H13:H19)</f>
        <v/>
      </c>
      <c r="I20" s="42">
        <f>SUM(I13:I19)</f>
        <v/>
      </c>
      <c r="J20" s="42">
        <f>SUM(J13:J19)</f>
        <v/>
      </c>
      <c r="K20" s="42">
        <f>SUM(K13:K19)</f>
        <v/>
      </c>
      <c r="L20" s="42">
        <f>SUM(L13:L19)</f>
        <v/>
      </c>
      <c r="M20" s="42">
        <f>SUM(M13:M19)</f>
        <v/>
      </c>
      <c r="N20" s="19">
        <f>SUM(B20:M20)</f>
        <v/>
      </c>
    </row>
    <row r="21">
      <c r="A21" s="5" t="inlineStr">
        <is>
          <t>Net cash flow (in − out)</t>
        </is>
      </c>
      <c r="B21" s="19">
        <f>B11-B20</f>
        <v/>
      </c>
      <c r="C21" s="19">
        <f>C11-C20</f>
        <v/>
      </c>
      <c r="D21" s="19">
        <f>D11-D20</f>
        <v/>
      </c>
      <c r="E21" s="19">
        <f>E11-E20</f>
        <v/>
      </c>
      <c r="F21" s="19">
        <f>F11-F20</f>
        <v/>
      </c>
      <c r="G21" s="19">
        <f>G11-G20</f>
        <v/>
      </c>
      <c r="H21" s="19">
        <f>H11-H20</f>
        <v/>
      </c>
      <c r="I21" s="19">
        <f>I11-I20</f>
        <v/>
      </c>
      <c r="J21" s="19">
        <f>J11-J20</f>
        <v/>
      </c>
      <c r="K21" s="19">
        <f>K11-K20</f>
        <v/>
      </c>
      <c r="L21" s="19">
        <f>L11-L20</f>
        <v/>
      </c>
      <c r="M21" s="19">
        <f>M11-M20</f>
        <v/>
      </c>
      <c r="N21" s="19">
        <f>SUM(B21:M21)</f>
        <v/>
      </c>
    </row>
    <row r="22">
      <c r="A22" s="5" t="inlineStr">
        <is>
          <t>CLOSING CASH (check against bank!)</t>
        </is>
      </c>
      <c r="B22" s="46">
        <f>B5+SUMIFS(Transactions!$E$5:$E$1504,Transactions!$L$5:$L$1504,B$4)-SUMIFS(Transactions!$F$5:$F$1504,Transactions!$L$5:$L$1504,B$4)</f>
        <v/>
      </c>
      <c r="C22" s="46">
        <f>C5+SUMIFS(Transactions!$E$5:$E$1504,Transactions!$L$5:$L$1504,C$4)-SUMIFS(Transactions!$F$5:$F$1504,Transactions!$L$5:$L$1504,C$4)</f>
        <v/>
      </c>
      <c r="D22" s="46">
        <f>D5+SUMIFS(Transactions!$E$5:$E$1504,Transactions!$L$5:$L$1504,D$4)-SUMIFS(Transactions!$F$5:$F$1504,Transactions!$L$5:$L$1504,D$4)</f>
        <v/>
      </c>
      <c r="E22" s="46">
        <f>E5+SUMIFS(Transactions!$E$5:$E$1504,Transactions!$L$5:$L$1504,E$4)-SUMIFS(Transactions!$F$5:$F$1504,Transactions!$L$5:$L$1504,E$4)</f>
        <v/>
      </c>
      <c r="F22" s="46">
        <f>F5+SUMIFS(Transactions!$E$5:$E$1504,Transactions!$L$5:$L$1504,F$4)-SUMIFS(Transactions!$F$5:$F$1504,Transactions!$L$5:$L$1504,F$4)</f>
        <v/>
      </c>
      <c r="G22" s="46">
        <f>G5+SUMIFS(Transactions!$E$5:$E$1504,Transactions!$L$5:$L$1504,G$4)-SUMIFS(Transactions!$F$5:$F$1504,Transactions!$L$5:$L$1504,G$4)</f>
        <v/>
      </c>
      <c r="H22" s="46">
        <f>H5+SUMIFS(Transactions!$E$5:$E$1504,Transactions!$L$5:$L$1504,H$4)-SUMIFS(Transactions!$F$5:$F$1504,Transactions!$L$5:$L$1504,H$4)</f>
        <v/>
      </c>
      <c r="I22" s="46">
        <f>I5+SUMIFS(Transactions!$E$5:$E$1504,Transactions!$L$5:$L$1504,I$4)-SUMIFS(Transactions!$F$5:$F$1504,Transactions!$L$5:$L$1504,I$4)</f>
        <v/>
      </c>
      <c r="J22" s="46">
        <f>J5+SUMIFS(Transactions!$E$5:$E$1504,Transactions!$L$5:$L$1504,J$4)-SUMIFS(Transactions!$F$5:$F$1504,Transactions!$L$5:$L$1504,J$4)</f>
        <v/>
      </c>
      <c r="K22" s="46">
        <f>K5+SUMIFS(Transactions!$E$5:$E$1504,Transactions!$L$5:$L$1504,K$4)-SUMIFS(Transactions!$F$5:$F$1504,Transactions!$L$5:$L$1504,K$4)</f>
        <v/>
      </c>
      <c r="L22" s="46">
        <f>L5+SUMIFS(Transactions!$E$5:$E$1504,Transactions!$L$5:$L$1504,L$4)-SUMIFS(Transactions!$F$5:$F$1504,Transactions!$L$5:$L$1504,L$4)</f>
        <v/>
      </c>
      <c r="M22" s="46">
        <f>M5+SUMIFS(Transactions!$E$5:$E$1504,Transactions!$L$5:$L$1504,M$4)-SUMIFS(Transactions!$F$5:$F$1504,Transactions!$L$5:$L$1504,M$4)</f>
        <v/>
      </c>
      <c r="N22" s="1" t="n"/>
    </row>
    <row r="23">
      <c r="A23" s="12" t="inlineStr">
        <is>
          <t>Actual bank + cash at month end (type it)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" t="n"/>
    </row>
    <row r="24">
      <c r="A24" s="5" t="inlineStr">
        <is>
          <t>Difference (should be 0)</t>
        </is>
      </c>
      <c r="B24" s="19">
        <f>IF(B23="","",B23-B22)</f>
        <v/>
      </c>
      <c r="C24" s="19">
        <f>IF(C23="","",C23-C22)</f>
        <v/>
      </c>
      <c r="D24" s="19">
        <f>IF(D23="","",D23-D22)</f>
        <v/>
      </c>
      <c r="E24" s="19">
        <f>IF(E23="","",E23-E22)</f>
        <v/>
      </c>
      <c r="F24" s="19">
        <f>IF(F23="","",F23-F22)</f>
        <v/>
      </c>
      <c r="G24" s="19">
        <f>IF(G23="","",G23-G22)</f>
        <v/>
      </c>
      <c r="H24" s="19">
        <f>IF(H23="","",H23-H22)</f>
        <v/>
      </c>
      <c r="I24" s="19">
        <f>IF(I23="","",I23-I22)</f>
        <v/>
      </c>
      <c r="J24" s="19">
        <f>IF(J23="","",J23-J22)</f>
        <v/>
      </c>
      <c r="K24" s="19">
        <f>IF(K23="","",K23-K22)</f>
        <v/>
      </c>
      <c r="L24" s="19">
        <f>IF(L23="","",L23-L22)</f>
        <v/>
      </c>
      <c r="M24" s="19">
        <f>IF(M23="","",M23-M22)</f>
        <v/>
      </c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3" t="inlineStr">
        <is>
          <t>Why closing cash and profit differ: unpaid invoices, owner drawings, tax, equipment and loans move cash without being profit or cost. Transfers between your own accounts cancel out in the closing balance.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</sheetData>
  <conditionalFormatting sqref="B24:M24">
    <cfRule type="expression" priority="1" dxfId="1">
      <formula>AND(B24&lt;&gt;"",B24&lt;&gt;0)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42" customWidth="1" min="4" max="4"/>
    <col width="18" customWidth="1" min="5" max="5"/>
  </cols>
  <sheetData>
    <row r="1">
      <c r="A1" s="11" t="inlineStr">
        <is>
          <t>Dashboard: the business on one page</t>
        </is>
      </c>
      <c r="B1" s="1" t="n"/>
      <c r="C1" s="1" t="n"/>
      <c r="D1" s="1" t="n"/>
      <c r="E1" s="1" t="n"/>
    </row>
    <row r="2">
      <c r="A2" s="3" t="inlineStr">
        <is>
          <t>Pick a month in the yellow cell. Everything else is automatic.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>
      <c r="A4" s="5" t="inlineStr">
        <is>
          <t>Month to review:</t>
        </is>
      </c>
      <c r="B4" s="47" t="n">
        <v>46266</v>
      </c>
      <c r="C4" s="1" t="n"/>
      <c r="D4" s="3" t="inlineStr">
        <is>
          <t>Pick from the list (financial-year months).</t>
        </is>
      </c>
      <c r="E4" s="1" t="n"/>
    </row>
    <row r="5">
      <c r="A5" s="1" t="n"/>
      <c r="B5" s="1" t="n"/>
      <c r="C5" s="1" t="n"/>
      <c r="D5" s="1" t="n"/>
      <c r="E5" s="1" t="n"/>
    </row>
    <row r="6">
      <c r="A6" s="4" t="inlineStr">
        <is>
          <t>THIS MONTH</t>
        </is>
      </c>
      <c r="B6" s="1" t="n"/>
      <c r="C6" s="1" t="n"/>
      <c r="D6" s="4" t="inlineStr">
        <is>
          <t>MONEY OWED TO US</t>
        </is>
      </c>
      <c r="E6" s="1" t="n"/>
    </row>
    <row r="7">
      <c r="A7" s="12" t="inlineStr">
        <is>
          <t>Revenue</t>
        </is>
      </c>
      <c r="B7" s="19">
        <f>IFERROR(INDEX('Monthly P&amp;L'!$B$11:$M$11,MATCH($B$4,'Monthly P&amp;L'!$B$4:$M$4,0)),0)</f>
        <v/>
      </c>
      <c r="C7" s="1" t="n"/>
      <c r="D7" s="12" t="inlineStr">
        <is>
          <t>Total outstanding invoices</t>
        </is>
      </c>
      <c r="E7" s="19">
        <f>SUM(Invoices!$I$5:$I$404)</f>
        <v/>
      </c>
    </row>
    <row r="8">
      <c r="A8" s="12" t="inlineStr">
        <is>
          <t>Gross profit</t>
        </is>
      </c>
      <c r="B8" s="19">
        <f>IFERROR(INDEX('Monthly P&amp;L'!$B$21:$M$21,MATCH($B$4,'Monthly P&amp;L'!$B$4:$M$4,0)),0)</f>
        <v/>
      </c>
      <c r="C8" s="1" t="n"/>
      <c r="D8" s="12" t="inlineStr">
        <is>
          <t>Overdue amount</t>
        </is>
      </c>
      <c r="E8" s="19">
        <f>SUMIFS(Invoices!$I$5:$I$404,Invoices!$K$5:$K$404,"Overdue")</f>
        <v/>
      </c>
    </row>
    <row r="9">
      <c r="A9" s="12" t="inlineStr">
        <is>
          <t>Gross margin %</t>
        </is>
      </c>
      <c r="B9" s="48">
        <f>IFERROR(INDEX('Monthly P&amp;L'!$B$22:$M$22,MATCH($B$4,'Monthly P&amp;L'!$B$4:$M$4,0)),0)</f>
        <v/>
      </c>
      <c r="C9" s="1" t="n"/>
      <c r="D9" s="12" t="inlineStr">
        <is>
          <t>Number of overdue invoices</t>
        </is>
      </c>
      <c r="E9" s="49">
        <f>COUNTIF(Invoices!$K$5:$K$404,"Overdue")</f>
        <v/>
      </c>
    </row>
    <row r="10">
      <c r="A10" s="12" t="inlineStr">
        <is>
          <t>Overheads</t>
        </is>
      </c>
      <c r="B10" s="19">
        <f>IFERROR(INDEX('Monthly P&amp;L'!$B$43:$M$43,MATCH($B$4,'Monthly P&amp;L'!$B$4:$M$4,0)),0)</f>
        <v/>
      </c>
      <c r="C10" s="1" t="n"/>
      <c r="D10" s="4" t="inlineStr"/>
      <c r="E10" s="1" t="n"/>
    </row>
    <row r="11">
      <c r="A11" s="12" t="inlineStr">
        <is>
          <t>Net profit</t>
        </is>
      </c>
      <c r="B11" s="19">
        <f>IFERROR(INDEX('Monthly P&amp;L'!$B$45:$M$45,MATCH($B$4,'Monthly P&amp;L'!$B$4:$M$4,0)),0)</f>
        <v/>
      </c>
      <c r="C11" s="1" t="n"/>
      <c r="D11" s="4" t="inlineStr">
        <is>
          <t>RISK &amp; HEALTH</t>
        </is>
      </c>
      <c r="E11" s="1" t="n"/>
    </row>
    <row r="12">
      <c r="A12" s="12" t="inlineStr">
        <is>
          <t>Net margin %</t>
        </is>
      </c>
      <c r="B12" s="48">
        <f>IFERROR(INDEX('Monthly P&amp;L'!$B$46:$M$46,MATCH($B$4,'Monthly P&amp;L'!$B$4:$M$4,0)),0)</f>
        <v/>
      </c>
      <c r="C12" s="1" t="n"/>
      <c r="D12" s="12" t="inlineStr">
        <is>
          <t>Biggest client share of revenue</t>
        </is>
      </c>
      <c r="E12" s="48">
        <f>MAX(Clients!$G$5:$G$104)</f>
        <v/>
      </c>
    </row>
    <row r="13">
      <c r="A13" s="12" t="inlineStr">
        <is>
          <t>Owner drawings</t>
        </is>
      </c>
      <c r="B13" s="19">
        <f>IFERROR(INDEX('Monthly P&amp;L'!$B$50:$M$50,MATCH($B$4,'Monthly P&amp;L'!$B$4:$M$4,0)),0)</f>
        <v/>
      </c>
      <c r="C13" s="1" t="n"/>
      <c r="D13" s="12" t="inlineStr">
        <is>
          <t>Avg monthly spending (last 3 months)</t>
        </is>
      </c>
      <c r="E13" s="19">
        <f>SUMPRODUCT(('Monthly P&amp;L'!$B$4:$M$4&lt;=$B$4)*('Monthly P&amp;L'!$B$4:$M$4&gt;EDATE($B$4,-3))*('Monthly P&amp;L'!$B$19:$M$19+'Monthly P&amp;L'!$B$43:$M$43))/3</f>
        <v/>
      </c>
    </row>
    <row r="14">
      <c r="A14" s="12" t="inlineStr">
        <is>
          <t>Closing cash (Cash Flow)</t>
        </is>
      </c>
      <c r="B14" s="19">
        <f>IFERROR(INDEX('Cash Flow'!$B$22:$M$22,MATCH($B$4,'Cash Flow'!$B$4:$M$4,0)),0)</f>
        <v/>
      </c>
      <c r="C14" s="1" t="n"/>
      <c r="D14" s="12" t="inlineStr">
        <is>
          <t>Cash runway (months of spending covered)</t>
        </is>
      </c>
      <c r="E14" s="50">
        <f>IF(E13&lt;=0,0,B14/E13)</f>
        <v/>
      </c>
    </row>
    <row r="15">
      <c r="A15" s="4" t="inlineStr"/>
      <c r="B15" s="1" t="n"/>
      <c r="C15" s="1" t="n"/>
      <c r="D15" s="12" t="inlineStr">
        <is>
          <t>Tax reserve suggested YTD</t>
        </is>
      </c>
      <c r="E15" s="19">
        <f>SUMPRODUCT(('Monthly P&amp;L'!$B$4:$M$4&lt;=$B$4)*'Monthly P&amp;L'!$B$47:$M$47)</f>
        <v/>
      </c>
    </row>
    <row r="16">
      <c r="A16" s="4" t="inlineStr">
        <is>
          <t>YEAR TO DATE (from April)</t>
        </is>
      </c>
      <c r="B16" s="1" t="n"/>
      <c r="C16" s="1" t="n"/>
      <c r="D16" s="4" t="inlineStr"/>
      <c r="E16" s="1" t="n"/>
    </row>
    <row r="17">
      <c r="A17" s="12" t="inlineStr">
        <is>
          <t>Revenue YTD</t>
        </is>
      </c>
      <c r="B17" s="19">
        <f>SUMPRODUCT(('Monthly P&amp;L'!$B$4:$M$4&lt;=$B$4)*'Monthly P&amp;L'!$B$11:$M$11)</f>
        <v/>
      </c>
      <c r="C17" s="1" t="n"/>
      <c r="D17" s="4" t="inlineStr">
        <is>
          <t>SALES</t>
        </is>
      </c>
      <c r="E17" s="1" t="n"/>
    </row>
    <row r="18">
      <c r="A18" s="12" t="inlineStr">
        <is>
          <t>Net profit YTD</t>
        </is>
      </c>
      <c r="B18" s="19">
        <f>SUMPRODUCT(('Monthly P&amp;L'!$B$4:$M$4&lt;=$B$4)*'Monthly P&amp;L'!$B$45:$M$45)</f>
        <v/>
      </c>
      <c r="C18" s="1" t="n"/>
      <c r="D18" s="12" t="inlineStr">
        <is>
          <t>Open pipeline value</t>
        </is>
      </c>
      <c r="E18" s="19">
        <f>'Sales Pipeline'!C3</f>
        <v/>
      </c>
    </row>
    <row r="19">
      <c r="A19" s="12" t="inlineStr">
        <is>
          <t>Net margin YTD</t>
        </is>
      </c>
      <c r="B19" s="48">
        <f>IF(B17=0,0,B18/B17)</f>
        <v/>
      </c>
      <c r="C19" s="1" t="n"/>
      <c r="D19" s="12" t="inlineStr">
        <is>
          <t>Win rate</t>
        </is>
      </c>
      <c r="E19" s="48">
        <f>'Sales Pipeline'!E3</f>
        <v/>
      </c>
    </row>
    <row r="20">
      <c r="A20" s="12" t="inlineStr">
        <is>
          <t>Average monthly revenue YTD</t>
        </is>
      </c>
      <c r="B20" s="19">
        <f>IFERROR(B17/SUMPRODUCT(('Monthly P&amp;L'!$B$4:$M$4&lt;=$B$4)*1),0)</f>
        <v/>
      </c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4" t="inlineStr">
        <is>
          <t>ACCOUNT BALANCES TODAY</t>
        </is>
      </c>
      <c r="B23" s="1" t="n"/>
      <c r="C23" s="1" t="n"/>
      <c r="D23" s="4" t="inlineStr">
        <is>
          <t>WARNING SIGNS</t>
        </is>
      </c>
      <c r="E23" s="1" t="n"/>
    </row>
    <row r="24" ht="30" customHeight="1">
      <c r="A24" s="18" t="inlineStr">
        <is>
          <t>Account</t>
        </is>
      </c>
      <c r="B24" s="18" t="inlineStr">
        <is>
          <t>Balance (Rs)</t>
        </is>
      </c>
      <c r="C24" s="1" t="n"/>
      <c r="D24" s="12" t="inlineStr">
        <is>
          <t>Net profit this month is negative</t>
        </is>
      </c>
      <c r="E24" s="51">
        <f>IF(B11&lt;0,"⚠ YES","OK")</f>
        <v/>
      </c>
    </row>
    <row r="25">
      <c r="A25" s="40">
        <f>IF(Setup!$A$14="","",Setup!$A$14)</f>
        <v/>
      </c>
      <c r="B25" s="41">
        <f>IF(A25="","",Setup!$B$14+SUMIFS(Transactions!$E$5:$E$1504,Transactions!$G$5:$G$1504,A25)-SUMIFS(Transactions!$F$5:$F$1504,Transactions!$G$5:$G$1504,A25))</f>
        <v/>
      </c>
      <c r="C25" s="1" t="n"/>
      <c r="D25" s="12" t="inlineStr">
        <is>
          <t>Gross margin below 50%</t>
        </is>
      </c>
      <c r="E25" s="51">
        <f>IF(AND(B7&lt;&gt;0,B9&lt;0.5),"⚠ YES","OK")</f>
        <v/>
      </c>
    </row>
    <row r="26">
      <c r="A26" s="40">
        <f>IF(Setup!$A$15="","",Setup!$A$15)</f>
        <v/>
      </c>
      <c r="B26" s="41">
        <f>IF(A26="","",Setup!$B$15+SUMIFS(Transactions!$E$5:$E$1504,Transactions!$G$5:$G$1504,A26)-SUMIFS(Transactions!$F$5:$F$1504,Transactions!$G$5:$G$1504,A26))</f>
        <v/>
      </c>
      <c r="C26" s="1" t="n"/>
      <c r="D26" s="12" t="inlineStr">
        <is>
          <t>One client is more than 30% of revenue</t>
        </is>
      </c>
      <c r="E26" s="51">
        <f>IF(E12&gt;0.3,"⚠ YES","OK")</f>
        <v/>
      </c>
    </row>
    <row r="27">
      <c r="A27" s="40">
        <f>IF(Setup!$A$16="","",Setup!$A$16)</f>
        <v/>
      </c>
      <c r="B27" s="41">
        <f>IF(A27="","",Setup!$B$16+SUMIFS(Transactions!$E$5:$E$1504,Transactions!$G$5:$G$1504,A27)-SUMIFS(Transactions!$F$5:$F$1504,Transactions!$G$5:$G$1504,A27))</f>
        <v/>
      </c>
      <c r="C27" s="1" t="n"/>
      <c r="D27" s="12" t="inlineStr">
        <is>
          <t>Less than 3 months of cash runway</t>
        </is>
      </c>
      <c r="E27" s="51">
        <f>IF(AND(E13&gt;0,E14&lt;3),"⚠ YES","OK")</f>
        <v/>
      </c>
    </row>
    <row r="28">
      <c r="A28" s="40">
        <f>IF(Setup!$A$17="","",Setup!$A$17)</f>
        <v/>
      </c>
      <c r="B28" s="41">
        <f>IF(A28="","",Setup!$B$17+SUMIFS(Transactions!$E$5:$E$1504,Transactions!$G$5:$G$1504,A28)-SUMIFS(Transactions!$F$5:$F$1504,Transactions!$G$5:$G$1504,A28))</f>
        <v/>
      </c>
      <c r="C28" s="1" t="n"/>
      <c r="D28" s="12" t="inlineStr">
        <is>
          <t>Overdue invoices exist</t>
        </is>
      </c>
      <c r="E28" s="51">
        <f>IF(E9&gt;0,"⚠ YES","OK")</f>
        <v/>
      </c>
    </row>
    <row r="29">
      <c r="A29" s="40">
        <f>IF(Setup!$A$18="","",Setup!$A$18)</f>
        <v/>
      </c>
      <c r="B29" s="41">
        <f>IF(A29="","",Setup!$B$18+SUMIFS(Transactions!$E$5:$E$1504,Transactions!$G$5:$G$1504,A29)-SUMIFS(Transactions!$F$5:$F$1504,Transactions!$G$5:$G$1504,A29))</f>
        <v/>
      </c>
      <c r="C29" s="1" t="n"/>
      <c r="D29" s="12" t="inlineStr">
        <is>
          <t>Transactions with a wrong category</t>
        </is>
      </c>
      <c r="E29" s="51">
        <f>IF(COUNTIF(Transactions!$K$5:$K$1504,"Check category")&gt;0,"⚠ YES","OK")</f>
        <v/>
      </c>
    </row>
    <row r="30">
      <c r="A30" s="40">
        <f>IF(Setup!$A$19="","",Setup!$A$19)</f>
        <v/>
      </c>
      <c r="B30" s="41">
        <f>IF(A30="","",Setup!$B$19+SUMIFS(Transactions!$E$5:$E$1504,Transactions!$G$5:$G$1504,A30)-SUMIFS(Transactions!$F$5:$F$1504,Transactions!$G$5:$G$1504,A30))</f>
        <v/>
      </c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3" t="inlineStr">
        <is>
          <t>Rules of thumb used above (assumptions, adjust to your business): services gross margin ≥ 50%; no client above 30% of revenue; keep at least 3 months of spending in cash.</t>
        </is>
      </c>
      <c r="B33" s="1" t="n"/>
      <c r="C33" s="1" t="n"/>
      <c r="D33" s="1" t="n"/>
      <c r="E33" s="1" t="n"/>
    </row>
  </sheetData>
  <conditionalFormatting sqref="E24:E29">
    <cfRule type="cellIs" priority="1" operator="equal" dxfId="1">
      <formula>"⚠ YES"</formula>
    </cfRule>
    <cfRule type="cellIs" priority="2" operator="equal" dxfId="3">
      <formula>"OK"</formula>
    </cfRule>
  </conditionalFormatting>
  <dataValidations count="1">
    <dataValidation sqref="B4" showDropDown="0" showInputMessage="0" showErrorMessage="0" allowBlank="0" type="list">
      <formula1>='Monthly P&amp;L'!$B$4:$M$4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38135"/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6" customWidth="1" min="4" max="4"/>
    <col width="15" customWidth="1" min="5" max="5"/>
    <col width="14" customWidth="1" min="6" max="6"/>
    <col width="14" customWidth="1" min="7" max="7"/>
    <col width="14" customWidth="1" min="8" max="8"/>
    <col width="11" customWidth="1" min="9" max="9"/>
    <col width="15" customWidth="1" min="10" max="10"/>
    <col width="16" customWidth="1" min="11" max="11"/>
  </cols>
  <sheetData>
    <row r="1">
      <c r="A1" s="11" t="inlineStr">
        <is>
          <t>Service Pricing: what does each service really earn?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" t="inlineStr">
        <is>
          <t>One row per service. Use it in Week 5 to find which services make money and what you should charge.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5" t="inlineStr">
        <is>
          <t>Target gross margin:</t>
        </is>
      </c>
      <c r="B3" s="1" t="n"/>
      <c r="C3" s="15" t="n">
        <v>0.5</v>
      </c>
      <c r="D3" s="3" t="inlineStr">
        <is>
          <t>Assumption: aim for at least 50% gross margin on services (a common rule of thumb). Change it to your target.</t>
        </is>
      </c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8" t="inlineStr">
        <is>
          <t>Service</t>
        </is>
      </c>
      <c r="B5" s="18" t="inlineStr">
        <is>
          <t>Price you charge (Rs)</t>
        </is>
      </c>
      <c r="C5" s="18" t="inlineStr">
        <is>
          <t>Hours per job</t>
        </is>
      </c>
      <c r="D5" s="18" t="inlineStr">
        <is>
          <t>Cost per hour of whoever does it (Rs)</t>
        </is>
      </c>
      <c r="E5" s="18" t="inlineStr">
        <is>
          <t>Other direct costs per job (Rs)</t>
        </is>
      </c>
      <c r="F5" s="18" t="inlineStr">
        <is>
          <t>Labour cost (auto)</t>
        </is>
      </c>
      <c r="G5" s="18" t="inlineStr">
        <is>
          <t>Total cost per job (auto)</t>
        </is>
      </c>
      <c r="H5" s="18" t="inlineStr">
        <is>
          <t>Gross profit per job (auto)</t>
        </is>
      </c>
      <c r="I5" s="18" t="inlineStr">
        <is>
          <t>Gross margin (auto)</t>
        </is>
      </c>
      <c r="J5" s="18" t="inlineStr">
        <is>
          <t>Profit per hour worked (auto)</t>
        </is>
      </c>
      <c r="K5" s="18" t="inlineStr">
        <is>
          <t>Price for target margin (auto)</t>
        </is>
      </c>
    </row>
    <row r="6">
      <c r="A6" s="22" t="inlineStr">
        <is>
          <t>EXAMPLE: Small business website</t>
        </is>
      </c>
      <c r="B6" s="23" t="n">
        <v>150000</v>
      </c>
      <c r="C6" s="52" t="n">
        <v>40</v>
      </c>
      <c r="D6" s="23" t="n">
        <v>1500</v>
      </c>
      <c r="E6" s="23" t="n">
        <v>10000</v>
      </c>
      <c r="F6" s="26">
        <f>IF(A6="","",N(C6)*N(D6))</f>
        <v/>
      </c>
      <c r="G6" s="26">
        <f>IF(A6="","",F6+N(E6))</f>
        <v/>
      </c>
      <c r="H6" s="26">
        <f>IF(A6="","",N(B6)-G6)</f>
        <v/>
      </c>
      <c r="I6" s="36">
        <f>IF(OR(A6="",N(B6)=0),"",H6/B6)</f>
        <v/>
      </c>
      <c r="J6" s="26">
        <f>IF(OR(A6="",N(C6)=0),"",H6/C6)</f>
        <v/>
      </c>
      <c r="K6" s="26">
        <f>IF(A6="","",IF($C$3&gt;=1,"",G6/(1-$C$3)))</f>
        <v/>
      </c>
    </row>
    <row r="7">
      <c r="A7" s="13" t="n"/>
      <c r="B7" s="16" t="n"/>
      <c r="C7" s="53" t="n"/>
      <c r="D7" s="16" t="n"/>
      <c r="E7" s="16" t="n"/>
      <c r="F7" s="26">
        <f>IF(A7="","",N(C7)*N(D7))</f>
        <v/>
      </c>
      <c r="G7" s="26">
        <f>IF(A7="","",F7+N(E7))</f>
        <v/>
      </c>
      <c r="H7" s="26">
        <f>IF(A7="","",N(B7)-G7)</f>
        <v/>
      </c>
      <c r="I7" s="36">
        <f>IF(OR(A7="",N(B7)=0),"",H7/B7)</f>
        <v/>
      </c>
      <c r="J7" s="26">
        <f>IF(OR(A7="",N(C7)=0),"",H7/C7)</f>
        <v/>
      </c>
      <c r="K7" s="26">
        <f>IF(A7="","",IF($C$3&gt;=1,"",G7/(1-$C$3)))</f>
        <v/>
      </c>
    </row>
    <row r="8">
      <c r="A8" s="13" t="n"/>
      <c r="B8" s="16" t="n"/>
      <c r="C8" s="53" t="n"/>
      <c r="D8" s="16" t="n"/>
      <c r="E8" s="16" t="n"/>
      <c r="F8" s="26">
        <f>IF(A8="","",N(C8)*N(D8))</f>
        <v/>
      </c>
      <c r="G8" s="26">
        <f>IF(A8="","",F8+N(E8))</f>
        <v/>
      </c>
      <c r="H8" s="26">
        <f>IF(A8="","",N(B8)-G8)</f>
        <v/>
      </c>
      <c r="I8" s="36">
        <f>IF(OR(A8="",N(B8)=0),"",H8/B8)</f>
        <v/>
      </c>
      <c r="J8" s="26">
        <f>IF(OR(A8="",N(C8)=0),"",H8/C8)</f>
        <v/>
      </c>
      <c r="K8" s="26">
        <f>IF(A8="","",IF($C$3&gt;=1,"",G8/(1-$C$3)))</f>
        <v/>
      </c>
    </row>
    <row r="9">
      <c r="A9" s="13" t="n"/>
      <c r="B9" s="16" t="n"/>
      <c r="C9" s="53" t="n"/>
      <c r="D9" s="16" t="n"/>
      <c r="E9" s="16" t="n"/>
      <c r="F9" s="26">
        <f>IF(A9="","",N(C9)*N(D9))</f>
        <v/>
      </c>
      <c r="G9" s="26">
        <f>IF(A9="","",F9+N(E9))</f>
        <v/>
      </c>
      <c r="H9" s="26">
        <f>IF(A9="","",N(B9)-G9)</f>
        <v/>
      </c>
      <c r="I9" s="36">
        <f>IF(OR(A9="",N(B9)=0),"",H9/B9)</f>
        <v/>
      </c>
      <c r="J9" s="26">
        <f>IF(OR(A9="",N(C9)=0),"",H9/C9)</f>
        <v/>
      </c>
      <c r="K9" s="26">
        <f>IF(A9="","",IF($C$3&gt;=1,"",G9/(1-$C$3)))</f>
        <v/>
      </c>
    </row>
    <row r="10">
      <c r="A10" s="13" t="n"/>
      <c r="B10" s="16" t="n"/>
      <c r="C10" s="53" t="n"/>
      <c r="D10" s="16" t="n"/>
      <c r="E10" s="16" t="n"/>
      <c r="F10" s="26">
        <f>IF(A10="","",N(C10)*N(D10))</f>
        <v/>
      </c>
      <c r="G10" s="26">
        <f>IF(A10="","",F10+N(E10))</f>
        <v/>
      </c>
      <c r="H10" s="26">
        <f>IF(A10="","",N(B10)-G10)</f>
        <v/>
      </c>
      <c r="I10" s="36">
        <f>IF(OR(A10="",N(B10)=0),"",H10/B10)</f>
        <v/>
      </c>
      <c r="J10" s="26">
        <f>IF(OR(A10="",N(C10)=0),"",H10/C10)</f>
        <v/>
      </c>
      <c r="K10" s="26">
        <f>IF(A10="","",IF($C$3&gt;=1,"",G10/(1-$C$3)))</f>
        <v/>
      </c>
    </row>
    <row r="11">
      <c r="A11" s="13" t="n"/>
      <c r="B11" s="16" t="n"/>
      <c r="C11" s="53" t="n"/>
      <c r="D11" s="16" t="n"/>
      <c r="E11" s="16" t="n"/>
      <c r="F11" s="26">
        <f>IF(A11="","",N(C11)*N(D11))</f>
        <v/>
      </c>
      <c r="G11" s="26">
        <f>IF(A11="","",F11+N(E11))</f>
        <v/>
      </c>
      <c r="H11" s="26">
        <f>IF(A11="","",N(B11)-G11)</f>
        <v/>
      </c>
      <c r="I11" s="36">
        <f>IF(OR(A11="",N(B11)=0),"",H11/B11)</f>
        <v/>
      </c>
      <c r="J11" s="26">
        <f>IF(OR(A11="",N(C11)=0),"",H11/C11)</f>
        <v/>
      </c>
      <c r="K11" s="26">
        <f>IF(A11="","",IF($C$3&gt;=1,"",G11/(1-$C$3)))</f>
        <v/>
      </c>
    </row>
    <row r="12">
      <c r="A12" s="13" t="n"/>
      <c r="B12" s="16" t="n"/>
      <c r="C12" s="53" t="n"/>
      <c r="D12" s="16" t="n"/>
      <c r="E12" s="16" t="n"/>
      <c r="F12" s="26">
        <f>IF(A12="","",N(C12)*N(D12))</f>
        <v/>
      </c>
      <c r="G12" s="26">
        <f>IF(A12="","",F12+N(E12))</f>
        <v/>
      </c>
      <c r="H12" s="26">
        <f>IF(A12="","",N(B12)-G12)</f>
        <v/>
      </c>
      <c r="I12" s="36">
        <f>IF(OR(A12="",N(B12)=0),"",H12/B12)</f>
        <v/>
      </c>
      <c r="J12" s="26">
        <f>IF(OR(A12="",N(C12)=0),"",H12/C12)</f>
        <v/>
      </c>
      <c r="K12" s="26">
        <f>IF(A12="","",IF($C$3&gt;=1,"",G12/(1-$C$3)))</f>
        <v/>
      </c>
    </row>
    <row r="13">
      <c r="A13" s="13" t="n"/>
      <c r="B13" s="16" t="n"/>
      <c r="C13" s="53" t="n"/>
      <c r="D13" s="16" t="n"/>
      <c r="E13" s="16" t="n"/>
      <c r="F13" s="26">
        <f>IF(A13="","",N(C13)*N(D13))</f>
        <v/>
      </c>
      <c r="G13" s="26">
        <f>IF(A13="","",F13+N(E13))</f>
        <v/>
      </c>
      <c r="H13" s="26">
        <f>IF(A13="","",N(B13)-G13)</f>
        <v/>
      </c>
      <c r="I13" s="36">
        <f>IF(OR(A13="",N(B13)=0),"",H13/B13)</f>
        <v/>
      </c>
      <c r="J13" s="26">
        <f>IF(OR(A13="",N(C13)=0),"",H13/C13)</f>
        <v/>
      </c>
      <c r="K13" s="26">
        <f>IF(A13="","",IF($C$3&gt;=1,"",G13/(1-$C$3)))</f>
        <v/>
      </c>
    </row>
    <row r="14">
      <c r="A14" s="13" t="n"/>
      <c r="B14" s="16" t="n"/>
      <c r="C14" s="53" t="n"/>
      <c r="D14" s="16" t="n"/>
      <c r="E14" s="16" t="n"/>
      <c r="F14" s="26">
        <f>IF(A14="","",N(C14)*N(D14))</f>
        <v/>
      </c>
      <c r="G14" s="26">
        <f>IF(A14="","",F14+N(E14))</f>
        <v/>
      </c>
      <c r="H14" s="26">
        <f>IF(A14="","",N(B14)-G14)</f>
        <v/>
      </c>
      <c r="I14" s="36">
        <f>IF(OR(A14="",N(B14)=0),"",H14/B14)</f>
        <v/>
      </c>
      <c r="J14" s="26">
        <f>IF(OR(A14="",N(C14)=0),"",H14/C14)</f>
        <v/>
      </c>
      <c r="K14" s="26">
        <f>IF(A14="","",IF($C$3&gt;=1,"",G14/(1-$C$3)))</f>
        <v/>
      </c>
    </row>
    <row r="15">
      <c r="A15" s="13" t="n"/>
      <c r="B15" s="16" t="n"/>
      <c r="C15" s="53" t="n"/>
      <c r="D15" s="16" t="n"/>
      <c r="E15" s="16" t="n"/>
      <c r="F15" s="26">
        <f>IF(A15="","",N(C15)*N(D15))</f>
        <v/>
      </c>
      <c r="G15" s="26">
        <f>IF(A15="","",F15+N(E15))</f>
        <v/>
      </c>
      <c r="H15" s="26">
        <f>IF(A15="","",N(B15)-G15)</f>
        <v/>
      </c>
      <c r="I15" s="36">
        <f>IF(OR(A15="",N(B15)=0),"",H15/B15)</f>
        <v/>
      </c>
      <c r="J15" s="26">
        <f>IF(OR(A15="",N(C15)=0),"",H15/C15)</f>
        <v/>
      </c>
      <c r="K15" s="26">
        <f>IF(A15="","",IF($C$3&gt;=1,"",G15/(1-$C$3)))</f>
        <v/>
      </c>
    </row>
    <row r="16">
      <c r="A16" s="13" t="n"/>
      <c r="B16" s="16" t="n"/>
      <c r="C16" s="53" t="n"/>
      <c r="D16" s="16" t="n"/>
      <c r="E16" s="16" t="n"/>
      <c r="F16" s="26">
        <f>IF(A16="","",N(C16)*N(D16))</f>
        <v/>
      </c>
      <c r="G16" s="26">
        <f>IF(A16="","",F16+N(E16))</f>
        <v/>
      </c>
      <c r="H16" s="26">
        <f>IF(A16="","",N(B16)-G16)</f>
        <v/>
      </c>
      <c r="I16" s="36">
        <f>IF(OR(A16="",N(B16)=0),"",H16/B16)</f>
        <v/>
      </c>
      <c r="J16" s="26">
        <f>IF(OR(A16="",N(C16)=0),"",H16/C16)</f>
        <v/>
      </c>
      <c r="K16" s="26">
        <f>IF(A16="","",IF($C$3&gt;=1,"",G16/(1-$C$3)))</f>
        <v/>
      </c>
    </row>
    <row r="17">
      <c r="A17" s="13" t="n"/>
      <c r="B17" s="16" t="n"/>
      <c r="C17" s="53" t="n"/>
      <c r="D17" s="16" t="n"/>
      <c r="E17" s="16" t="n"/>
      <c r="F17" s="26">
        <f>IF(A17="","",N(C17)*N(D17))</f>
        <v/>
      </c>
      <c r="G17" s="26">
        <f>IF(A17="","",F17+N(E17))</f>
        <v/>
      </c>
      <c r="H17" s="26">
        <f>IF(A17="","",N(B17)-G17)</f>
        <v/>
      </c>
      <c r="I17" s="36">
        <f>IF(OR(A17="",N(B17)=0),"",H17/B17)</f>
        <v/>
      </c>
      <c r="J17" s="26">
        <f>IF(OR(A17="",N(C17)=0),"",H17/C17)</f>
        <v/>
      </c>
      <c r="K17" s="26">
        <f>IF(A17="","",IF($C$3&gt;=1,"",G17/(1-$C$3)))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3" t="inlineStr">
        <is>
          <t>Cost per hour: if you do the work yourself, use the salary you want ÷ hours you work per month (e.g. Rs 200,000 ÷ 160 h = Rs 1,250/h). Red margin = below your target: raise the price, cut hours, or cut direct costs.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</sheetData>
  <conditionalFormatting sqref="I6:I17">
    <cfRule type="expression" priority="1" dxfId="0">
      <formula>AND(I6&lt;&gt;"",I6&lt;$C$3)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38135"/>
    <outlinePr summaryBelow="1" summaryRight="1"/>
    <pageSetUpPr/>
  </sheetPr>
  <dimension ref="A1:H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11" t="inlineStr">
        <is>
          <t>Forecast &amp; Budget: October 2026 – March 2027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Plan the next 6 months, then compare with what actually happened. Yellow = your assumptions.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 ht="30" customHeight="1">
      <c r="A4" s="18" t="inlineStr">
        <is>
          <t>Rs</t>
        </is>
      </c>
      <c r="B4" s="54" t="n">
        <v>46296</v>
      </c>
      <c r="C4" s="37">
        <f>EDATE(B4,1)</f>
        <v/>
      </c>
      <c r="D4" s="37">
        <f>EDATE(C4,1)</f>
        <v/>
      </c>
      <c r="E4" s="37">
        <f>EDATE(D4,1)</f>
        <v/>
      </c>
      <c r="F4" s="37">
        <f>EDATE(E4,1)</f>
        <v/>
      </c>
      <c r="G4" s="37">
        <f>EDATE(F4,1)</f>
        <v/>
      </c>
      <c r="H4" s="18" t="inlineStr">
        <is>
          <t>6-month total</t>
        </is>
      </c>
    </row>
    <row r="5">
      <c r="A5" s="4" t="inlineStr">
        <is>
          <t>REVENUE PLAN</t>
        </is>
      </c>
      <c r="B5" s="1" t="n"/>
      <c r="C5" s="1" t="n"/>
      <c r="D5" s="1" t="n"/>
      <c r="E5" s="1" t="n"/>
      <c r="F5" s="1" t="n"/>
      <c r="G5" s="1" t="n"/>
      <c r="H5" s="1" t="n"/>
    </row>
    <row r="6">
      <c r="A6" s="12" t="inlineStr">
        <is>
          <t>Number of jobs / paying clients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49">
        <f>SUM(B6:G6)</f>
        <v/>
      </c>
    </row>
    <row r="7">
      <c r="A7" s="12" t="inlineStr">
        <is>
          <t>Average fee per job (Rs)</t>
        </is>
      </c>
      <c r="B7" s="16" t="n">
        <v>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" t="n"/>
    </row>
    <row r="8">
      <c r="A8" s="5" t="inlineStr">
        <is>
          <t>Forecast revenue</t>
        </is>
      </c>
      <c r="B8" s="19">
        <f>B6*B7</f>
        <v/>
      </c>
      <c r="C8" s="19">
        <f>C6*C7</f>
        <v/>
      </c>
      <c r="D8" s="19">
        <f>D6*D7</f>
        <v/>
      </c>
      <c r="E8" s="19">
        <f>E6*E7</f>
        <v/>
      </c>
      <c r="F8" s="19">
        <f>F6*F7</f>
        <v/>
      </c>
      <c r="G8" s="19">
        <f>G6*G7</f>
        <v/>
      </c>
      <c r="H8" s="19">
        <f>SUM(B8:G8)</f>
        <v/>
      </c>
    </row>
    <row r="9">
      <c r="A9" s="12" t="inlineStr">
        <is>
          <t>Direct costs as % of revenue</t>
        </is>
      </c>
      <c r="B9" s="15" t="n">
        <v>0.3</v>
      </c>
      <c r="C9" s="15" t="n">
        <v>0.3</v>
      </c>
      <c r="D9" s="15" t="n">
        <v>0.3</v>
      </c>
      <c r="E9" s="15" t="n">
        <v>0.3</v>
      </c>
      <c r="F9" s="15" t="n">
        <v>0.3</v>
      </c>
      <c r="G9" s="15" t="n">
        <v>0.3</v>
      </c>
      <c r="H9" s="1" t="n"/>
    </row>
    <row r="10">
      <c r="A10" s="12" t="inlineStr">
        <is>
          <t>Forecast direct costs</t>
        </is>
      </c>
      <c r="B10" s="41">
        <f>B8*B9</f>
        <v/>
      </c>
      <c r="C10" s="41">
        <f>C8*C9</f>
        <v/>
      </c>
      <c r="D10" s="41">
        <f>D8*D9</f>
        <v/>
      </c>
      <c r="E10" s="41">
        <f>E8*E9</f>
        <v/>
      </c>
      <c r="F10" s="41">
        <f>F8*F9</f>
        <v/>
      </c>
      <c r="G10" s="41">
        <f>G8*G9</f>
        <v/>
      </c>
      <c r="H10" s="19">
        <f>SUM(B10:G10)</f>
        <v/>
      </c>
    </row>
    <row r="11">
      <c r="A11" s="5" t="inlineStr">
        <is>
          <t>Forecast gross profit</t>
        </is>
      </c>
      <c r="B11" s="19">
        <f>B8-B10</f>
        <v/>
      </c>
      <c r="C11" s="19">
        <f>C8-C10</f>
        <v/>
      </c>
      <c r="D11" s="19">
        <f>D8-D10</f>
        <v/>
      </c>
      <c r="E11" s="19">
        <f>E8-E10</f>
        <v/>
      </c>
      <c r="F11" s="19">
        <f>F8-F10</f>
        <v/>
      </c>
      <c r="G11" s="19">
        <f>G8-G10</f>
        <v/>
      </c>
      <c r="H11" s="19">
        <f>SUM(B11:G11)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4" t="inlineStr">
        <is>
          <t>MONTHLY BUDGET FOR OVERHEADS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12" t="inlineStr">
        <is>
          <t>Salaries – admin &amp; sales (incl. EPF/ETF)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9">
        <f>SUM(B14:G14)</f>
        <v/>
      </c>
    </row>
    <row r="15">
      <c r="A15" s="12" t="inlineStr">
        <is>
          <t>Rent &amp; utilities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9">
        <f>SUM(B15:G15)</f>
        <v/>
      </c>
    </row>
    <row r="16">
      <c r="A16" s="12" t="inlineStr">
        <is>
          <t>Internet, phone &amp; software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9">
        <f>SUM(B16:G16)</f>
        <v/>
      </c>
    </row>
    <row r="17">
      <c r="A17" s="12" t="inlineStr">
        <is>
          <t>Marketing &amp; advertising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9">
        <f>SUM(B17:G17)</f>
        <v/>
      </c>
    </row>
    <row r="18">
      <c r="A18" s="12" t="inlineStr">
        <is>
          <t>Professional fees (accountant)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9">
        <f>SUM(B18:G18)</f>
        <v/>
      </c>
    </row>
    <row r="19">
      <c r="A19" s="12" t="inlineStr">
        <is>
          <t>Transport &amp; other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9">
        <f>SUM(B19:G19)</f>
        <v/>
      </c>
    </row>
    <row r="20">
      <c r="A20" s="5" t="inlineStr">
        <is>
          <t>Total overheads budget</t>
        </is>
      </c>
      <c r="B20" s="19">
        <f>SUM(B14:B19)</f>
        <v/>
      </c>
      <c r="C20" s="19">
        <f>SUM(C14:C19)</f>
        <v/>
      </c>
      <c r="D20" s="19">
        <f>SUM(D14:D19)</f>
        <v/>
      </c>
      <c r="E20" s="19">
        <f>SUM(E14:E19)</f>
        <v/>
      </c>
      <c r="F20" s="19">
        <f>SUM(F14:F19)</f>
        <v/>
      </c>
      <c r="G20" s="19">
        <f>SUM(G14:G19)</f>
        <v/>
      </c>
      <c r="H20" s="19">
        <f>SUM(B20:G20)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5" t="inlineStr">
        <is>
          <t>FORECAST NET PROFIT</t>
        </is>
      </c>
      <c r="B22" s="19">
        <f>B11-B20</f>
        <v/>
      </c>
      <c r="C22" s="19">
        <f>C11-C20</f>
        <v/>
      </c>
      <c r="D22" s="19">
        <f>D11-D20</f>
        <v/>
      </c>
      <c r="E22" s="19">
        <f>E11-E20</f>
        <v/>
      </c>
      <c r="F22" s="19">
        <f>F11-F20</f>
        <v/>
      </c>
      <c r="G22" s="19">
        <f>G11-G20</f>
        <v/>
      </c>
      <c r="H22" s="19">
        <f>SUM(B22:G22)</f>
        <v/>
      </c>
    </row>
    <row r="23">
      <c r="A23" s="12" t="inlineStr">
        <is>
          <t>Owner salary (from Setup)</t>
        </is>
      </c>
      <c r="B23" s="41">
        <f>Setup!$B$9</f>
        <v/>
      </c>
      <c r="C23" s="41">
        <f>Setup!$B$9</f>
        <v/>
      </c>
      <c r="D23" s="41">
        <f>Setup!$B$9</f>
        <v/>
      </c>
      <c r="E23" s="41">
        <f>Setup!$B$9</f>
        <v/>
      </c>
      <c r="F23" s="41">
        <f>Setup!$B$9</f>
        <v/>
      </c>
      <c r="G23" s="41">
        <f>Setup!$B$9</f>
        <v/>
      </c>
      <c r="H23" s="19">
        <f>SUM(B23:G23)</f>
        <v/>
      </c>
    </row>
    <row r="24">
      <c r="A24" s="12" t="inlineStr">
        <is>
          <t>Tax reserve (Setup % of profit)</t>
        </is>
      </c>
      <c r="B24" s="41">
        <f>MAX(0,B22)*Setup!$B$8</f>
        <v/>
      </c>
      <c r="C24" s="41">
        <f>MAX(0,C22)*Setup!$B$8</f>
        <v/>
      </c>
      <c r="D24" s="41">
        <f>MAX(0,D22)*Setup!$B$8</f>
        <v/>
      </c>
      <c r="E24" s="41">
        <f>MAX(0,E22)*Setup!$B$8</f>
        <v/>
      </c>
      <c r="F24" s="41">
        <f>MAX(0,F22)*Setup!$B$8</f>
        <v/>
      </c>
      <c r="G24" s="41">
        <f>MAX(0,G22)*Setup!$B$8</f>
        <v/>
      </c>
      <c r="H24" s="19">
        <f>SUM(B24:G24)</f>
        <v/>
      </c>
    </row>
    <row r="25">
      <c r="A25" s="5" t="inlineStr">
        <is>
          <t>Left to reinvest or save</t>
        </is>
      </c>
      <c r="B25" s="19">
        <f>B22-B23-B24</f>
        <v/>
      </c>
      <c r="C25" s="19">
        <f>C22-C23-C24</f>
        <v/>
      </c>
      <c r="D25" s="19">
        <f>D22-D23-D24</f>
        <v/>
      </c>
      <c r="E25" s="19">
        <f>E22-E23-E24</f>
        <v/>
      </c>
      <c r="F25" s="19">
        <f>F22-F23-F24</f>
        <v/>
      </c>
      <c r="G25" s="19">
        <f>G22-G23-G24</f>
        <v/>
      </c>
      <c r="H25" s="19">
        <f>SUM(B25:G25)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4" t="inlineStr">
        <is>
          <t>ACTUAL vs FORECAST (auto from Monthly P&amp;L)</t>
        </is>
      </c>
      <c r="B27" s="1" t="n"/>
      <c r="C27" s="1" t="n"/>
      <c r="D27" s="1" t="n"/>
      <c r="E27" s="1" t="n"/>
      <c r="F27" s="1" t="n"/>
      <c r="G27" s="1" t="n"/>
      <c r="H27" s="1" t="n"/>
    </row>
    <row r="28">
      <c r="A28" s="12" t="inlineStr">
        <is>
          <t>Actual revenue</t>
        </is>
      </c>
      <c r="B28" s="41">
        <f>IFERROR(INDEX('Monthly P&amp;L'!$B$11:$M$11,MATCH(B$4,'Monthly P&amp;L'!$B$4:$M$4,0)),0)</f>
        <v/>
      </c>
      <c r="C28" s="41">
        <f>IFERROR(INDEX('Monthly P&amp;L'!$B$11:$M$11,MATCH(C$4,'Monthly P&amp;L'!$B$4:$M$4,0)),0)</f>
        <v/>
      </c>
      <c r="D28" s="41">
        <f>IFERROR(INDEX('Monthly P&amp;L'!$B$11:$M$11,MATCH(D$4,'Monthly P&amp;L'!$B$4:$M$4,0)),0)</f>
        <v/>
      </c>
      <c r="E28" s="41">
        <f>IFERROR(INDEX('Monthly P&amp;L'!$B$11:$M$11,MATCH(E$4,'Monthly P&amp;L'!$B$4:$M$4,0)),0)</f>
        <v/>
      </c>
      <c r="F28" s="41">
        <f>IFERROR(INDEX('Monthly P&amp;L'!$B$11:$M$11,MATCH(F$4,'Monthly P&amp;L'!$B$4:$M$4,0)),0)</f>
        <v/>
      </c>
      <c r="G28" s="41">
        <f>IFERROR(INDEX('Monthly P&amp;L'!$B$11:$M$11,MATCH(G$4,'Monthly P&amp;L'!$B$4:$M$4,0)),0)</f>
        <v/>
      </c>
      <c r="H28" s="19">
        <f>SUM(B28:G28)</f>
        <v/>
      </c>
    </row>
    <row r="29">
      <c r="A29" s="12" t="inlineStr">
        <is>
          <t>Revenue difference (actual − forecast)</t>
        </is>
      </c>
      <c r="B29" s="41">
        <f>B28-B8</f>
        <v/>
      </c>
      <c r="C29" s="41">
        <f>C28-C8</f>
        <v/>
      </c>
      <c r="D29" s="41">
        <f>D28-D8</f>
        <v/>
      </c>
      <c r="E29" s="41">
        <f>E28-E8</f>
        <v/>
      </c>
      <c r="F29" s="41">
        <f>F28-F8</f>
        <v/>
      </c>
      <c r="G29" s="41">
        <f>G28-G8</f>
        <v/>
      </c>
      <c r="H29" s="19">
        <f>SUM(B29:G29)</f>
        <v/>
      </c>
    </row>
    <row r="30">
      <c r="A30" s="12" t="inlineStr">
        <is>
          <t>Revenue achieved %</t>
        </is>
      </c>
      <c r="B30" s="44">
        <f>IF(B8=0,0,B28/B8)</f>
        <v/>
      </c>
      <c r="C30" s="44">
        <f>IF(C8=0,0,C28/C8)</f>
        <v/>
      </c>
      <c r="D30" s="44">
        <f>IF(D8=0,0,D28/D8)</f>
        <v/>
      </c>
      <c r="E30" s="44">
        <f>IF(E8=0,0,E28/E8)</f>
        <v/>
      </c>
      <c r="F30" s="44">
        <f>IF(F8=0,0,F28/F8)</f>
        <v/>
      </c>
      <c r="G30" s="44">
        <f>IF(G8=0,0,G28/G8)</f>
        <v/>
      </c>
      <c r="H30" s="1" t="n"/>
    </row>
    <row r="31">
      <c r="A31" s="12" t="inlineStr">
        <is>
          <t>Actual overheads</t>
        </is>
      </c>
      <c r="B31" s="41">
        <f>IFERROR(INDEX('Monthly P&amp;L'!$B$43:$M$43,MATCH(B$4,'Monthly P&amp;L'!$B$4:$M$4,0)),0)</f>
        <v/>
      </c>
      <c r="C31" s="41">
        <f>IFERROR(INDEX('Monthly P&amp;L'!$B$43:$M$43,MATCH(C$4,'Monthly P&amp;L'!$B$4:$M$4,0)),0)</f>
        <v/>
      </c>
      <c r="D31" s="41">
        <f>IFERROR(INDEX('Monthly P&amp;L'!$B$43:$M$43,MATCH(D$4,'Monthly P&amp;L'!$B$4:$M$4,0)),0)</f>
        <v/>
      </c>
      <c r="E31" s="41">
        <f>IFERROR(INDEX('Monthly P&amp;L'!$B$43:$M$43,MATCH(E$4,'Monthly P&amp;L'!$B$4:$M$4,0)),0)</f>
        <v/>
      </c>
      <c r="F31" s="41">
        <f>IFERROR(INDEX('Monthly P&amp;L'!$B$43:$M$43,MATCH(F$4,'Monthly P&amp;L'!$B$4:$M$4,0)),0)</f>
        <v/>
      </c>
      <c r="G31" s="41">
        <f>IFERROR(INDEX('Monthly P&amp;L'!$B$43:$M$43,MATCH(G$4,'Monthly P&amp;L'!$B$4:$M$4,0)),0)</f>
        <v/>
      </c>
      <c r="H31" s="19">
        <f>SUM(B31:G31)</f>
        <v/>
      </c>
    </row>
    <row r="32">
      <c r="A32" s="12" t="inlineStr">
        <is>
          <t>Overheads difference (actual − budget)</t>
        </is>
      </c>
      <c r="B32" s="41">
        <f>B31-B20</f>
        <v/>
      </c>
      <c r="C32" s="41">
        <f>C31-C20</f>
        <v/>
      </c>
      <c r="D32" s="41">
        <f>D31-D20</f>
        <v/>
      </c>
      <c r="E32" s="41">
        <f>E31-E20</f>
        <v/>
      </c>
      <c r="F32" s="41">
        <f>F31-F20</f>
        <v/>
      </c>
      <c r="G32" s="41">
        <f>G31-G20</f>
        <v/>
      </c>
      <c r="H32" s="19">
        <f>SUM(B32:G32)</f>
        <v/>
      </c>
    </row>
    <row r="33">
      <c r="A33" s="5" t="inlineStr">
        <is>
          <t>Actual net profit</t>
        </is>
      </c>
      <c r="B33" s="19">
        <f>IFERROR(INDEX('Monthly P&amp;L'!$B$45:$M$45,MATCH(B$4,'Monthly P&amp;L'!$B$4:$M$4,0)),0)</f>
        <v/>
      </c>
      <c r="C33" s="19">
        <f>IFERROR(INDEX('Monthly P&amp;L'!$B$45:$M$45,MATCH(C$4,'Monthly P&amp;L'!$B$4:$M$4,0)),0)</f>
        <v/>
      </c>
      <c r="D33" s="19">
        <f>IFERROR(INDEX('Monthly P&amp;L'!$B$45:$M$45,MATCH(D$4,'Monthly P&amp;L'!$B$4:$M$4,0)),0)</f>
        <v/>
      </c>
      <c r="E33" s="19">
        <f>IFERROR(INDEX('Monthly P&amp;L'!$B$45:$M$45,MATCH(E$4,'Monthly P&amp;L'!$B$4:$M$4,0)),0)</f>
        <v/>
      </c>
      <c r="F33" s="19">
        <f>IFERROR(INDEX('Monthly P&amp;L'!$B$45:$M$45,MATCH(F$4,'Monthly P&amp;L'!$B$4:$M$4,0)),0)</f>
        <v/>
      </c>
      <c r="G33" s="19">
        <f>IFERROR(INDEX('Monthly P&amp;L'!$B$45:$M$45,MATCH(G$4,'Monthly P&amp;L'!$B$4:$M$4,0)),0)</f>
        <v/>
      </c>
      <c r="H33" s="19">
        <f>SUM(B33:G33)</f>
        <v/>
      </c>
    </row>
    <row r="34">
      <c r="A34" s="12" t="inlineStr">
        <is>
          <t>Profit difference (actual − forecast)</t>
        </is>
      </c>
      <c r="B34" s="41">
        <f>B33-B22</f>
        <v/>
      </c>
      <c r="C34" s="41">
        <f>C33-C22</f>
        <v/>
      </c>
      <c r="D34" s="41">
        <f>D33-D22</f>
        <v/>
      </c>
      <c r="E34" s="41">
        <f>E33-E22</f>
        <v/>
      </c>
      <c r="F34" s="41">
        <f>F33-F22</f>
        <v/>
      </c>
      <c r="G34" s="41">
        <f>G33-G22</f>
        <v/>
      </c>
      <c r="H34" s="19">
        <f>SUM(B34:G34)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3" t="inlineStr">
        <is>
          <t>How to use: fill rows 6–7, 9 and 14–19 in Week 8. Start with your real averages from the Monthly P&amp;L, then decide what is realistic. Months with no actuals yet show 0 in the actual rows.</t>
        </is>
      </c>
      <c r="B36" s="1" t="n"/>
      <c r="C36" s="1" t="n"/>
      <c r="D36" s="1" t="n"/>
      <c r="E36" s="1" t="n"/>
      <c r="F36" s="1" t="n"/>
      <c r="G36" s="1" t="n"/>
      <c r="H36" s="1" t="n"/>
    </row>
  </sheetData>
  <conditionalFormatting sqref="B29:H29">
    <cfRule type="cellIs" priority="1" operator="lessThan" dxfId="4">
      <formula>0</formula>
    </cfRule>
  </conditionalFormatting>
  <conditionalFormatting sqref="B32:H32">
    <cfRule type="cellIs" priority="2" operator="lessThan" dxfId="4">
      <formula>0</formula>
    </cfRule>
  </conditionalFormatting>
  <conditionalFormatting sqref="B34:H34">
    <cfRule type="cellIs" priority="3" operator="lessThan" dxfId="4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538135"/>
    <outlinePr summaryBelow="1" summaryRight="1"/>
    <pageSetUpPr/>
  </sheetPr>
  <dimension ref="A1:K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18" customWidth="1" min="4" max="4"/>
    <col width="24" customWidth="1" min="5" max="5"/>
    <col width="15" customWidth="1" min="6" max="6"/>
    <col width="16" customWidth="1" min="7" max="7"/>
    <col width="34" customWidth="1" min="8" max="8"/>
    <col width="14" customWidth="1" min="9" max="9"/>
    <col width="12" customWidth="1" min="10" max="10"/>
    <col width="30" customWidth="1" min="11" max="11"/>
  </cols>
  <sheetData>
    <row r="1">
      <c r="A1" s="11" t="inlineStr">
        <is>
          <t>Sales Pipeline: every enquiry, until it is won or lost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" t="inlineStr">
        <is>
          <t>Add every lead the day it arrives. Always fill "Next action" and "Next action date".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5" t="inlineStr">
        <is>
          <t>Open pipeline value:</t>
        </is>
      </c>
      <c r="B3" s="1" t="n"/>
      <c r="C3" s="19">
        <f>SUMIFS(F5:F204,G5:G204,"&lt;&gt;Won",G5:G204,"&lt;&gt;Lost",G5:G204,"&lt;&gt;")</f>
        <v/>
      </c>
      <c r="D3" s="5" t="inlineStr">
        <is>
          <t>Win rate:</t>
        </is>
      </c>
      <c r="E3" s="48">
        <f>IF(COUNTIF(G5:G204,"Won")+COUNTIF(G5:G204,"Lost")=0,0,COUNTIF(G5:G204,"Won")/(COUNTIF(G5:G204,"Won")+COUNTIF(G5:G204,"Lost")))</f>
        <v/>
      </c>
      <c r="F3" s="1" t="n"/>
      <c r="G3" s="1" t="n"/>
      <c r="H3" s="1" t="n"/>
      <c r="I3" s="1" t="n"/>
      <c r="J3" s="1" t="n"/>
      <c r="K3" s="1" t="n"/>
    </row>
    <row r="4" ht="30" customHeight="1">
      <c r="A4" s="18" t="inlineStr">
        <is>
          <t>Date in</t>
        </is>
      </c>
      <c r="B4" s="18" t="inlineStr">
        <is>
          <t>Lead / company</t>
        </is>
      </c>
      <c r="C4" s="18" t="inlineStr">
        <is>
          <t>Contact</t>
        </is>
      </c>
      <c r="D4" s="18" t="inlineStr">
        <is>
          <t>Source</t>
        </is>
      </c>
      <c r="E4" s="18" t="inlineStr">
        <is>
          <t>Service wanted</t>
        </is>
      </c>
      <c r="F4" s="18" t="inlineStr">
        <is>
          <t>Value (Rs)</t>
        </is>
      </c>
      <c r="G4" s="18" t="inlineStr">
        <is>
          <t>Stage</t>
        </is>
      </c>
      <c r="H4" s="18" t="inlineStr">
        <is>
          <t>Next action</t>
        </is>
      </c>
      <c r="I4" s="18" t="inlineStr">
        <is>
          <t>Next action date</t>
        </is>
      </c>
      <c r="J4" s="18" t="inlineStr">
        <is>
          <t>Overdue? (auto)</t>
        </is>
      </c>
      <c r="K4" s="18" t="inlineStr">
        <is>
          <t>Notes / reason lost</t>
        </is>
      </c>
    </row>
    <row r="5">
      <c r="A5" s="21" t="n">
        <v>46297</v>
      </c>
      <c r="B5" s="22" t="inlineStr">
        <is>
          <t>EXAMPLE: XYZ Hotels</t>
        </is>
      </c>
      <c r="C5" s="22" t="inlineStr">
        <is>
          <t>Ms. Fernando</t>
        </is>
      </c>
      <c r="D5" s="22" t="inlineStr">
        <is>
          <t>Referral</t>
        </is>
      </c>
      <c r="E5" s="22" t="inlineStr">
        <is>
          <t>Social media management</t>
        </is>
      </c>
      <c r="F5" s="23" t="n">
        <v>80000</v>
      </c>
      <c r="G5" s="22" t="inlineStr">
        <is>
          <t>Proposal sent</t>
        </is>
      </c>
      <c r="H5" s="22" t="inlineStr">
        <is>
          <t>Call to answer questions on the proposal</t>
        </is>
      </c>
      <c r="I5" s="21" t="n">
        <v>46301</v>
      </c>
      <c r="J5" s="55">
        <f>IF(OR(I5="",G5="Won",G5="Lost"),"",IF(I5&lt;TODAY(),"OVERDUE",""))</f>
        <v/>
      </c>
      <c r="K5" s="28" t="n"/>
    </row>
    <row r="6">
      <c r="A6" s="27" t="n"/>
      <c r="B6" s="28" t="n"/>
      <c r="C6" s="28" t="n"/>
      <c r="D6" s="28" t="n"/>
      <c r="E6" s="28" t="n"/>
      <c r="F6" s="29" t="n"/>
      <c r="G6" s="28" t="n"/>
      <c r="H6" s="28" t="n"/>
      <c r="I6" s="27" t="n"/>
      <c r="J6" s="55">
        <f>IF(OR(I6="",G6="Won",G6="Lost"),"",IF(I6&lt;TODAY(),"OVERDUE",""))</f>
        <v/>
      </c>
      <c r="K6" s="28" t="n"/>
    </row>
    <row r="7">
      <c r="A7" s="27" t="n"/>
      <c r="B7" s="28" t="n"/>
      <c r="C7" s="28" t="n"/>
      <c r="D7" s="28" t="n"/>
      <c r="E7" s="28" t="n"/>
      <c r="F7" s="29" t="n"/>
      <c r="G7" s="28" t="n"/>
      <c r="H7" s="28" t="n"/>
      <c r="I7" s="27" t="n"/>
      <c r="J7" s="55">
        <f>IF(OR(I7="",G7="Won",G7="Lost"),"",IF(I7&lt;TODAY(),"OVERDUE",""))</f>
        <v/>
      </c>
      <c r="K7" s="28" t="n"/>
    </row>
    <row r="8">
      <c r="A8" s="27" t="n"/>
      <c r="B8" s="28" t="n"/>
      <c r="C8" s="28" t="n"/>
      <c r="D8" s="28" t="n"/>
      <c r="E8" s="28" t="n"/>
      <c r="F8" s="29" t="n"/>
      <c r="G8" s="28" t="n"/>
      <c r="H8" s="28" t="n"/>
      <c r="I8" s="27" t="n"/>
      <c r="J8" s="55">
        <f>IF(OR(I8="",G8="Won",G8="Lost"),"",IF(I8&lt;TODAY(),"OVERDUE",""))</f>
        <v/>
      </c>
      <c r="K8" s="28" t="n"/>
    </row>
    <row r="9">
      <c r="A9" s="27" t="n"/>
      <c r="B9" s="28" t="n"/>
      <c r="C9" s="28" t="n"/>
      <c r="D9" s="28" t="n"/>
      <c r="E9" s="28" t="n"/>
      <c r="F9" s="29" t="n"/>
      <c r="G9" s="28" t="n"/>
      <c r="H9" s="28" t="n"/>
      <c r="I9" s="27" t="n"/>
      <c r="J9" s="55">
        <f>IF(OR(I9="",G9="Won",G9="Lost"),"",IF(I9&lt;TODAY(),"OVERDUE",""))</f>
        <v/>
      </c>
      <c r="K9" s="28" t="n"/>
    </row>
    <row r="10">
      <c r="A10" s="27" t="n"/>
      <c r="B10" s="28" t="n"/>
      <c r="C10" s="28" t="n"/>
      <c r="D10" s="28" t="n"/>
      <c r="E10" s="28" t="n"/>
      <c r="F10" s="29" t="n"/>
      <c r="G10" s="28" t="n"/>
      <c r="H10" s="28" t="n"/>
      <c r="I10" s="27" t="n"/>
      <c r="J10" s="55">
        <f>IF(OR(I10="",G10="Won",G10="Lost"),"",IF(I10&lt;TODAY(),"OVERDUE",""))</f>
        <v/>
      </c>
      <c r="K10" s="28" t="n"/>
    </row>
    <row r="11">
      <c r="A11" s="27" t="n"/>
      <c r="B11" s="28" t="n"/>
      <c r="C11" s="28" t="n"/>
      <c r="D11" s="28" t="n"/>
      <c r="E11" s="28" t="n"/>
      <c r="F11" s="29" t="n"/>
      <c r="G11" s="28" t="n"/>
      <c r="H11" s="28" t="n"/>
      <c r="I11" s="27" t="n"/>
      <c r="J11" s="55">
        <f>IF(OR(I11="",G11="Won",G11="Lost"),"",IF(I11&lt;TODAY(),"OVERDUE",""))</f>
        <v/>
      </c>
      <c r="K11" s="28" t="n"/>
    </row>
    <row r="12">
      <c r="A12" s="27" t="n"/>
      <c r="B12" s="28" t="n"/>
      <c r="C12" s="28" t="n"/>
      <c r="D12" s="28" t="n"/>
      <c r="E12" s="28" t="n"/>
      <c r="F12" s="29" t="n"/>
      <c r="G12" s="28" t="n"/>
      <c r="H12" s="28" t="n"/>
      <c r="I12" s="27" t="n"/>
      <c r="J12" s="55">
        <f>IF(OR(I12="",G12="Won",G12="Lost"),"",IF(I12&lt;TODAY(),"OVERDUE",""))</f>
        <v/>
      </c>
      <c r="K12" s="28" t="n"/>
    </row>
    <row r="13">
      <c r="A13" s="27" t="n"/>
      <c r="B13" s="28" t="n"/>
      <c r="C13" s="28" t="n"/>
      <c r="D13" s="28" t="n"/>
      <c r="E13" s="28" t="n"/>
      <c r="F13" s="29" t="n"/>
      <c r="G13" s="28" t="n"/>
      <c r="H13" s="28" t="n"/>
      <c r="I13" s="27" t="n"/>
      <c r="J13" s="55">
        <f>IF(OR(I13="",G13="Won",G13="Lost"),"",IF(I13&lt;TODAY(),"OVERDUE",""))</f>
        <v/>
      </c>
      <c r="K13" s="28" t="n"/>
    </row>
    <row r="14">
      <c r="A14" s="27" t="n"/>
      <c r="B14" s="28" t="n"/>
      <c r="C14" s="28" t="n"/>
      <c r="D14" s="28" t="n"/>
      <c r="E14" s="28" t="n"/>
      <c r="F14" s="29" t="n"/>
      <c r="G14" s="28" t="n"/>
      <c r="H14" s="28" t="n"/>
      <c r="I14" s="27" t="n"/>
      <c r="J14" s="55">
        <f>IF(OR(I14="",G14="Won",G14="Lost"),"",IF(I14&lt;TODAY(),"OVERDUE",""))</f>
        <v/>
      </c>
      <c r="K14" s="28" t="n"/>
    </row>
    <row r="15">
      <c r="A15" s="27" t="n"/>
      <c r="B15" s="28" t="n"/>
      <c r="C15" s="28" t="n"/>
      <c r="D15" s="28" t="n"/>
      <c r="E15" s="28" t="n"/>
      <c r="F15" s="29" t="n"/>
      <c r="G15" s="28" t="n"/>
      <c r="H15" s="28" t="n"/>
      <c r="I15" s="27" t="n"/>
      <c r="J15" s="55">
        <f>IF(OR(I15="",G15="Won",G15="Lost"),"",IF(I15&lt;TODAY(),"OVERDUE",""))</f>
        <v/>
      </c>
      <c r="K15" s="28" t="n"/>
    </row>
    <row r="16">
      <c r="A16" s="27" t="n"/>
      <c r="B16" s="28" t="n"/>
      <c r="C16" s="28" t="n"/>
      <c r="D16" s="28" t="n"/>
      <c r="E16" s="28" t="n"/>
      <c r="F16" s="29" t="n"/>
      <c r="G16" s="28" t="n"/>
      <c r="H16" s="28" t="n"/>
      <c r="I16" s="27" t="n"/>
      <c r="J16" s="55">
        <f>IF(OR(I16="",G16="Won",G16="Lost"),"",IF(I16&lt;TODAY(),"OVERDUE",""))</f>
        <v/>
      </c>
      <c r="K16" s="28" t="n"/>
    </row>
    <row r="17">
      <c r="A17" s="27" t="n"/>
      <c r="B17" s="28" t="n"/>
      <c r="C17" s="28" t="n"/>
      <c r="D17" s="28" t="n"/>
      <c r="E17" s="28" t="n"/>
      <c r="F17" s="29" t="n"/>
      <c r="G17" s="28" t="n"/>
      <c r="H17" s="28" t="n"/>
      <c r="I17" s="27" t="n"/>
      <c r="J17" s="55">
        <f>IF(OR(I17="",G17="Won",G17="Lost"),"",IF(I17&lt;TODAY(),"OVERDUE",""))</f>
        <v/>
      </c>
      <c r="K17" s="28" t="n"/>
    </row>
    <row r="18">
      <c r="A18" s="27" t="n"/>
      <c r="B18" s="28" t="n"/>
      <c r="C18" s="28" t="n"/>
      <c r="D18" s="28" t="n"/>
      <c r="E18" s="28" t="n"/>
      <c r="F18" s="29" t="n"/>
      <c r="G18" s="28" t="n"/>
      <c r="H18" s="28" t="n"/>
      <c r="I18" s="27" t="n"/>
      <c r="J18" s="55">
        <f>IF(OR(I18="",G18="Won",G18="Lost"),"",IF(I18&lt;TODAY(),"OVERDUE",""))</f>
        <v/>
      </c>
      <c r="K18" s="28" t="n"/>
    </row>
    <row r="19">
      <c r="A19" s="27" t="n"/>
      <c r="B19" s="28" t="n"/>
      <c r="C19" s="28" t="n"/>
      <c r="D19" s="28" t="n"/>
      <c r="E19" s="28" t="n"/>
      <c r="F19" s="29" t="n"/>
      <c r="G19" s="28" t="n"/>
      <c r="H19" s="28" t="n"/>
      <c r="I19" s="27" t="n"/>
      <c r="J19" s="55">
        <f>IF(OR(I19="",G19="Won",G19="Lost"),"",IF(I19&lt;TODAY(),"OVERDUE",""))</f>
        <v/>
      </c>
      <c r="K19" s="28" t="n"/>
    </row>
    <row r="20">
      <c r="A20" s="27" t="n"/>
      <c r="B20" s="28" t="n"/>
      <c r="C20" s="28" t="n"/>
      <c r="D20" s="28" t="n"/>
      <c r="E20" s="28" t="n"/>
      <c r="F20" s="29" t="n"/>
      <c r="G20" s="28" t="n"/>
      <c r="H20" s="28" t="n"/>
      <c r="I20" s="27" t="n"/>
      <c r="J20" s="55">
        <f>IF(OR(I20="",G20="Won",G20="Lost"),"",IF(I20&lt;TODAY(),"OVERDUE",""))</f>
        <v/>
      </c>
      <c r="K20" s="28" t="n"/>
    </row>
    <row r="21">
      <c r="A21" s="27" t="n"/>
      <c r="B21" s="28" t="n"/>
      <c r="C21" s="28" t="n"/>
      <c r="D21" s="28" t="n"/>
      <c r="E21" s="28" t="n"/>
      <c r="F21" s="29" t="n"/>
      <c r="G21" s="28" t="n"/>
      <c r="H21" s="28" t="n"/>
      <c r="I21" s="27" t="n"/>
      <c r="J21" s="55">
        <f>IF(OR(I21="",G21="Won",G21="Lost"),"",IF(I21&lt;TODAY(),"OVERDUE",""))</f>
        <v/>
      </c>
      <c r="K21" s="28" t="n"/>
    </row>
    <row r="22">
      <c r="A22" s="27" t="n"/>
      <c r="B22" s="28" t="n"/>
      <c r="C22" s="28" t="n"/>
      <c r="D22" s="28" t="n"/>
      <c r="E22" s="28" t="n"/>
      <c r="F22" s="29" t="n"/>
      <c r="G22" s="28" t="n"/>
      <c r="H22" s="28" t="n"/>
      <c r="I22" s="27" t="n"/>
      <c r="J22" s="55">
        <f>IF(OR(I22="",G22="Won",G22="Lost"),"",IF(I22&lt;TODAY(),"OVERDUE",""))</f>
        <v/>
      </c>
      <c r="K22" s="28" t="n"/>
    </row>
    <row r="23">
      <c r="A23" s="27" t="n"/>
      <c r="B23" s="28" t="n"/>
      <c r="C23" s="28" t="n"/>
      <c r="D23" s="28" t="n"/>
      <c r="E23" s="28" t="n"/>
      <c r="F23" s="29" t="n"/>
      <c r="G23" s="28" t="n"/>
      <c r="H23" s="28" t="n"/>
      <c r="I23" s="27" t="n"/>
      <c r="J23" s="55">
        <f>IF(OR(I23="",G23="Won",G23="Lost"),"",IF(I23&lt;TODAY(),"OVERDUE",""))</f>
        <v/>
      </c>
      <c r="K23" s="28" t="n"/>
    </row>
    <row r="24">
      <c r="A24" s="27" t="n"/>
      <c r="B24" s="28" t="n"/>
      <c r="C24" s="28" t="n"/>
      <c r="D24" s="28" t="n"/>
      <c r="E24" s="28" t="n"/>
      <c r="F24" s="29" t="n"/>
      <c r="G24" s="28" t="n"/>
      <c r="H24" s="28" t="n"/>
      <c r="I24" s="27" t="n"/>
      <c r="J24" s="55">
        <f>IF(OR(I24="",G24="Won",G24="Lost"),"",IF(I24&lt;TODAY(),"OVERDUE",""))</f>
        <v/>
      </c>
      <c r="K24" s="28" t="n"/>
    </row>
    <row r="25">
      <c r="A25" s="27" t="n"/>
      <c r="B25" s="28" t="n"/>
      <c r="C25" s="28" t="n"/>
      <c r="D25" s="28" t="n"/>
      <c r="E25" s="28" t="n"/>
      <c r="F25" s="29" t="n"/>
      <c r="G25" s="28" t="n"/>
      <c r="H25" s="28" t="n"/>
      <c r="I25" s="27" t="n"/>
      <c r="J25" s="55">
        <f>IF(OR(I25="",G25="Won",G25="Lost"),"",IF(I25&lt;TODAY(),"OVERDUE",""))</f>
        <v/>
      </c>
      <c r="K25" s="28" t="n"/>
    </row>
    <row r="26">
      <c r="A26" s="27" t="n"/>
      <c r="B26" s="28" t="n"/>
      <c r="C26" s="28" t="n"/>
      <c r="D26" s="28" t="n"/>
      <c r="E26" s="28" t="n"/>
      <c r="F26" s="29" t="n"/>
      <c r="G26" s="28" t="n"/>
      <c r="H26" s="28" t="n"/>
      <c r="I26" s="27" t="n"/>
      <c r="J26" s="55">
        <f>IF(OR(I26="",G26="Won",G26="Lost"),"",IF(I26&lt;TODAY(),"OVERDUE",""))</f>
        <v/>
      </c>
      <c r="K26" s="28" t="n"/>
    </row>
    <row r="27">
      <c r="A27" s="27" t="n"/>
      <c r="B27" s="28" t="n"/>
      <c r="C27" s="28" t="n"/>
      <c r="D27" s="28" t="n"/>
      <c r="E27" s="28" t="n"/>
      <c r="F27" s="29" t="n"/>
      <c r="G27" s="28" t="n"/>
      <c r="H27" s="28" t="n"/>
      <c r="I27" s="27" t="n"/>
      <c r="J27" s="55">
        <f>IF(OR(I27="",G27="Won",G27="Lost"),"",IF(I27&lt;TODAY(),"OVERDUE",""))</f>
        <v/>
      </c>
      <c r="K27" s="28" t="n"/>
    </row>
    <row r="28">
      <c r="A28" s="27" t="n"/>
      <c r="B28" s="28" t="n"/>
      <c r="C28" s="28" t="n"/>
      <c r="D28" s="28" t="n"/>
      <c r="E28" s="28" t="n"/>
      <c r="F28" s="29" t="n"/>
      <c r="G28" s="28" t="n"/>
      <c r="H28" s="28" t="n"/>
      <c r="I28" s="27" t="n"/>
      <c r="J28" s="55">
        <f>IF(OR(I28="",G28="Won",G28="Lost"),"",IF(I28&lt;TODAY(),"OVERDUE",""))</f>
        <v/>
      </c>
      <c r="K28" s="28" t="n"/>
    </row>
    <row r="29">
      <c r="A29" s="27" t="n"/>
      <c r="B29" s="28" t="n"/>
      <c r="C29" s="28" t="n"/>
      <c r="D29" s="28" t="n"/>
      <c r="E29" s="28" t="n"/>
      <c r="F29" s="29" t="n"/>
      <c r="G29" s="28" t="n"/>
      <c r="H29" s="28" t="n"/>
      <c r="I29" s="27" t="n"/>
      <c r="J29" s="55">
        <f>IF(OR(I29="",G29="Won",G29="Lost"),"",IF(I29&lt;TODAY(),"OVERDUE",""))</f>
        <v/>
      </c>
      <c r="K29" s="28" t="n"/>
    </row>
    <row r="30">
      <c r="A30" s="27" t="n"/>
      <c r="B30" s="28" t="n"/>
      <c r="C30" s="28" t="n"/>
      <c r="D30" s="28" t="n"/>
      <c r="E30" s="28" t="n"/>
      <c r="F30" s="29" t="n"/>
      <c r="G30" s="28" t="n"/>
      <c r="H30" s="28" t="n"/>
      <c r="I30" s="27" t="n"/>
      <c r="J30" s="55">
        <f>IF(OR(I30="",G30="Won",G30="Lost"),"",IF(I30&lt;TODAY(),"OVERDUE",""))</f>
        <v/>
      </c>
      <c r="K30" s="28" t="n"/>
    </row>
    <row r="31">
      <c r="A31" s="27" t="n"/>
      <c r="B31" s="28" t="n"/>
      <c r="C31" s="28" t="n"/>
      <c r="D31" s="28" t="n"/>
      <c r="E31" s="28" t="n"/>
      <c r="F31" s="29" t="n"/>
      <c r="G31" s="28" t="n"/>
      <c r="H31" s="28" t="n"/>
      <c r="I31" s="27" t="n"/>
      <c r="J31" s="55">
        <f>IF(OR(I31="",G31="Won",G31="Lost"),"",IF(I31&lt;TODAY(),"OVERDUE",""))</f>
        <v/>
      </c>
      <c r="K31" s="28" t="n"/>
    </row>
    <row r="32">
      <c r="A32" s="27" t="n"/>
      <c r="B32" s="28" t="n"/>
      <c r="C32" s="28" t="n"/>
      <c r="D32" s="28" t="n"/>
      <c r="E32" s="28" t="n"/>
      <c r="F32" s="29" t="n"/>
      <c r="G32" s="28" t="n"/>
      <c r="H32" s="28" t="n"/>
      <c r="I32" s="27" t="n"/>
      <c r="J32" s="55">
        <f>IF(OR(I32="",G32="Won",G32="Lost"),"",IF(I32&lt;TODAY(),"OVERDUE",""))</f>
        <v/>
      </c>
      <c r="K32" s="28" t="n"/>
    </row>
    <row r="33">
      <c r="A33" s="27" t="n"/>
      <c r="B33" s="28" t="n"/>
      <c r="C33" s="28" t="n"/>
      <c r="D33" s="28" t="n"/>
      <c r="E33" s="28" t="n"/>
      <c r="F33" s="29" t="n"/>
      <c r="G33" s="28" t="n"/>
      <c r="H33" s="28" t="n"/>
      <c r="I33" s="27" t="n"/>
      <c r="J33" s="55">
        <f>IF(OR(I33="",G33="Won",G33="Lost"),"",IF(I33&lt;TODAY(),"OVERDUE",""))</f>
        <v/>
      </c>
      <c r="K33" s="28" t="n"/>
    </row>
    <row r="34">
      <c r="A34" s="27" t="n"/>
      <c r="B34" s="28" t="n"/>
      <c r="C34" s="28" t="n"/>
      <c r="D34" s="28" t="n"/>
      <c r="E34" s="28" t="n"/>
      <c r="F34" s="29" t="n"/>
      <c r="G34" s="28" t="n"/>
      <c r="H34" s="28" t="n"/>
      <c r="I34" s="27" t="n"/>
      <c r="J34" s="55">
        <f>IF(OR(I34="",G34="Won",G34="Lost"),"",IF(I34&lt;TODAY(),"OVERDUE",""))</f>
        <v/>
      </c>
      <c r="K34" s="28" t="n"/>
    </row>
    <row r="35">
      <c r="A35" s="27" t="n"/>
      <c r="B35" s="28" t="n"/>
      <c r="C35" s="28" t="n"/>
      <c r="D35" s="28" t="n"/>
      <c r="E35" s="28" t="n"/>
      <c r="F35" s="29" t="n"/>
      <c r="G35" s="28" t="n"/>
      <c r="H35" s="28" t="n"/>
      <c r="I35" s="27" t="n"/>
      <c r="J35" s="55">
        <f>IF(OR(I35="",G35="Won",G35="Lost"),"",IF(I35&lt;TODAY(),"OVERDUE",""))</f>
        <v/>
      </c>
      <c r="K35" s="28" t="n"/>
    </row>
    <row r="36">
      <c r="A36" s="27" t="n"/>
      <c r="B36" s="28" t="n"/>
      <c r="C36" s="28" t="n"/>
      <c r="D36" s="28" t="n"/>
      <c r="E36" s="28" t="n"/>
      <c r="F36" s="29" t="n"/>
      <c r="G36" s="28" t="n"/>
      <c r="H36" s="28" t="n"/>
      <c r="I36" s="27" t="n"/>
      <c r="J36" s="55">
        <f>IF(OR(I36="",G36="Won",G36="Lost"),"",IF(I36&lt;TODAY(),"OVERDUE",""))</f>
        <v/>
      </c>
      <c r="K36" s="28" t="n"/>
    </row>
    <row r="37">
      <c r="A37" s="27" t="n"/>
      <c r="B37" s="28" t="n"/>
      <c r="C37" s="28" t="n"/>
      <c r="D37" s="28" t="n"/>
      <c r="E37" s="28" t="n"/>
      <c r="F37" s="29" t="n"/>
      <c r="G37" s="28" t="n"/>
      <c r="H37" s="28" t="n"/>
      <c r="I37" s="27" t="n"/>
      <c r="J37" s="55">
        <f>IF(OR(I37="",G37="Won",G37="Lost"),"",IF(I37&lt;TODAY(),"OVERDUE",""))</f>
        <v/>
      </c>
      <c r="K37" s="28" t="n"/>
    </row>
    <row r="38">
      <c r="A38" s="27" t="n"/>
      <c r="B38" s="28" t="n"/>
      <c r="C38" s="28" t="n"/>
      <c r="D38" s="28" t="n"/>
      <c r="E38" s="28" t="n"/>
      <c r="F38" s="29" t="n"/>
      <c r="G38" s="28" t="n"/>
      <c r="H38" s="28" t="n"/>
      <c r="I38" s="27" t="n"/>
      <c r="J38" s="55">
        <f>IF(OR(I38="",G38="Won",G38="Lost"),"",IF(I38&lt;TODAY(),"OVERDUE",""))</f>
        <v/>
      </c>
      <c r="K38" s="28" t="n"/>
    </row>
    <row r="39">
      <c r="A39" s="27" t="n"/>
      <c r="B39" s="28" t="n"/>
      <c r="C39" s="28" t="n"/>
      <c r="D39" s="28" t="n"/>
      <c r="E39" s="28" t="n"/>
      <c r="F39" s="29" t="n"/>
      <c r="G39" s="28" t="n"/>
      <c r="H39" s="28" t="n"/>
      <c r="I39" s="27" t="n"/>
      <c r="J39" s="55">
        <f>IF(OR(I39="",G39="Won",G39="Lost"),"",IF(I39&lt;TODAY(),"OVERDUE",""))</f>
        <v/>
      </c>
      <c r="K39" s="28" t="n"/>
    </row>
    <row r="40">
      <c r="A40" s="27" t="n"/>
      <c r="B40" s="28" t="n"/>
      <c r="C40" s="28" t="n"/>
      <c r="D40" s="28" t="n"/>
      <c r="E40" s="28" t="n"/>
      <c r="F40" s="29" t="n"/>
      <c r="G40" s="28" t="n"/>
      <c r="H40" s="28" t="n"/>
      <c r="I40" s="27" t="n"/>
      <c r="J40" s="55">
        <f>IF(OR(I40="",G40="Won",G40="Lost"),"",IF(I40&lt;TODAY(),"OVERDUE",""))</f>
        <v/>
      </c>
      <c r="K40" s="28" t="n"/>
    </row>
    <row r="41">
      <c r="A41" s="27" t="n"/>
      <c r="B41" s="28" t="n"/>
      <c r="C41" s="28" t="n"/>
      <c r="D41" s="28" t="n"/>
      <c r="E41" s="28" t="n"/>
      <c r="F41" s="29" t="n"/>
      <c r="G41" s="28" t="n"/>
      <c r="H41" s="28" t="n"/>
      <c r="I41" s="27" t="n"/>
      <c r="J41" s="55">
        <f>IF(OR(I41="",G41="Won",G41="Lost"),"",IF(I41&lt;TODAY(),"OVERDUE",""))</f>
        <v/>
      </c>
      <c r="K41" s="28" t="n"/>
    </row>
    <row r="42">
      <c r="A42" s="27" t="n"/>
      <c r="B42" s="28" t="n"/>
      <c r="C42" s="28" t="n"/>
      <c r="D42" s="28" t="n"/>
      <c r="E42" s="28" t="n"/>
      <c r="F42" s="29" t="n"/>
      <c r="G42" s="28" t="n"/>
      <c r="H42" s="28" t="n"/>
      <c r="I42" s="27" t="n"/>
      <c r="J42" s="55">
        <f>IF(OR(I42="",G42="Won",G42="Lost"),"",IF(I42&lt;TODAY(),"OVERDUE",""))</f>
        <v/>
      </c>
      <c r="K42" s="28" t="n"/>
    </row>
    <row r="43">
      <c r="A43" s="27" t="n"/>
      <c r="B43" s="28" t="n"/>
      <c r="C43" s="28" t="n"/>
      <c r="D43" s="28" t="n"/>
      <c r="E43" s="28" t="n"/>
      <c r="F43" s="29" t="n"/>
      <c r="G43" s="28" t="n"/>
      <c r="H43" s="28" t="n"/>
      <c r="I43" s="27" t="n"/>
      <c r="J43" s="55">
        <f>IF(OR(I43="",G43="Won",G43="Lost"),"",IF(I43&lt;TODAY(),"OVERDUE",""))</f>
        <v/>
      </c>
      <c r="K43" s="28" t="n"/>
    </row>
    <row r="44">
      <c r="A44" s="27" t="n"/>
      <c r="B44" s="28" t="n"/>
      <c r="C44" s="28" t="n"/>
      <c r="D44" s="28" t="n"/>
      <c r="E44" s="28" t="n"/>
      <c r="F44" s="29" t="n"/>
      <c r="G44" s="28" t="n"/>
      <c r="H44" s="28" t="n"/>
      <c r="I44" s="27" t="n"/>
      <c r="J44" s="55">
        <f>IF(OR(I44="",G44="Won",G44="Lost"),"",IF(I44&lt;TODAY(),"OVERDUE",""))</f>
        <v/>
      </c>
      <c r="K44" s="28" t="n"/>
    </row>
    <row r="45">
      <c r="A45" s="27" t="n"/>
      <c r="B45" s="28" t="n"/>
      <c r="C45" s="28" t="n"/>
      <c r="D45" s="28" t="n"/>
      <c r="E45" s="28" t="n"/>
      <c r="F45" s="29" t="n"/>
      <c r="G45" s="28" t="n"/>
      <c r="H45" s="28" t="n"/>
      <c r="I45" s="27" t="n"/>
      <c r="J45" s="55">
        <f>IF(OR(I45="",G45="Won",G45="Lost"),"",IF(I45&lt;TODAY(),"OVERDUE",""))</f>
        <v/>
      </c>
      <c r="K45" s="28" t="n"/>
    </row>
    <row r="46">
      <c r="A46" s="27" t="n"/>
      <c r="B46" s="28" t="n"/>
      <c r="C46" s="28" t="n"/>
      <c r="D46" s="28" t="n"/>
      <c r="E46" s="28" t="n"/>
      <c r="F46" s="29" t="n"/>
      <c r="G46" s="28" t="n"/>
      <c r="H46" s="28" t="n"/>
      <c r="I46" s="27" t="n"/>
      <c r="J46" s="55">
        <f>IF(OR(I46="",G46="Won",G46="Lost"),"",IF(I46&lt;TODAY(),"OVERDUE",""))</f>
        <v/>
      </c>
      <c r="K46" s="28" t="n"/>
    </row>
    <row r="47">
      <c r="A47" s="27" t="n"/>
      <c r="B47" s="28" t="n"/>
      <c r="C47" s="28" t="n"/>
      <c r="D47" s="28" t="n"/>
      <c r="E47" s="28" t="n"/>
      <c r="F47" s="29" t="n"/>
      <c r="G47" s="28" t="n"/>
      <c r="H47" s="28" t="n"/>
      <c r="I47" s="27" t="n"/>
      <c r="J47" s="55">
        <f>IF(OR(I47="",G47="Won",G47="Lost"),"",IF(I47&lt;TODAY(),"OVERDUE",""))</f>
        <v/>
      </c>
      <c r="K47" s="28" t="n"/>
    </row>
    <row r="48">
      <c r="A48" s="27" t="n"/>
      <c r="B48" s="28" t="n"/>
      <c r="C48" s="28" t="n"/>
      <c r="D48" s="28" t="n"/>
      <c r="E48" s="28" t="n"/>
      <c r="F48" s="29" t="n"/>
      <c r="G48" s="28" t="n"/>
      <c r="H48" s="28" t="n"/>
      <c r="I48" s="27" t="n"/>
      <c r="J48" s="55">
        <f>IF(OR(I48="",G48="Won",G48="Lost"),"",IF(I48&lt;TODAY(),"OVERDUE",""))</f>
        <v/>
      </c>
      <c r="K48" s="28" t="n"/>
    </row>
    <row r="49">
      <c r="A49" s="27" t="n"/>
      <c r="B49" s="28" t="n"/>
      <c r="C49" s="28" t="n"/>
      <c r="D49" s="28" t="n"/>
      <c r="E49" s="28" t="n"/>
      <c r="F49" s="29" t="n"/>
      <c r="G49" s="28" t="n"/>
      <c r="H49" s="28" t="n"/>
      <c r="I49" s="27" t="n"/>
      <c r="J49" s="55">
        <f>IF(OR(I49="",G49="Won",G49="Lost"),"",IF(I49&lt;TODAY(),"OVERDUE",""))</f>
        <v/>
      </c>
      <c r="K49" s="28" t="n"/>
    </row>
    <row r="50">
      <c r="A50" s="27" t="n"/>
      <c r="B50" s="28" t="n"/>
      <c r="C50" s="28" t="n"/>
      <c r="D50" s="28" t="n"/>
      <c r="E50" s="28" t="n"/>
      <c r="F50" s="29" t="n"/>
      <c r="G50" s="28" t="n"/>
      <c r="H50" s="28" t="n"/>
      <c r="I50" s="27" t="n"/>
      <c r="J50" s="55">
        <f>IF(OR(I50="",G50="Won",G50="Lost"),"",IF(I50&lt;TODAY(),"OVERDUE",""))</f>
        <v/>
      </c>
      <c r="K50" s="28" t="n"/>
    </row>
    <row r="51">
      <c r="A51" s="27" t="n"/>
      <c r="B51" s="28" t="n"/>
      <c r="C51" s="28" t="n"/>
      <c r="D51" s="28" t="n"/>
      <c r="E51" s="28" t="n"/>
      <c r="F51" s="29" t="n"/>
      <c r="G51" s="28" t="n"/>
      <c r="H51" s="28" t="n"/>
      <c r="I51" s="27" t="n"/>
      <c r="J51" s="55">
        <f>IF(OR(I51="",G51="Won",G51="Lost"),"",IF(I51&lt;TODAY(),"OVERDUE",""))</f>
        <v/>
      </c>
      <c r="K51" s="28" t="n"/>
    </row>
    <row r="52">
      <c r="A52" s="27" t="n"/>
      <c r="B52" s="28" t="n"/>
      <c r="C52" s="28" t="n"/>
      <c r="D52" s="28" t="n"/>
      <c r="E52" s="28" t="n"/>
      <c r="F52" s="29" t="n"/>
      <c r="G52" s="28" t="n"/>
      <c r="H52" s="28" t="n"/>
      <c r="I52" s="27" t="n"/>
      <c r="J52" s="55">
        <f>IF(OR(I52="",G52="Won",G52="Lost"),"",IF(I52&lt;TODAY(),"OVERDUE",""))</f>
        <v/>
      </c>
      <c r="K52" s="28" t="n"/>
    </row>
    <row r="53">
      <c r="A53" s="27" t="n"/>
      <c r="B53" s="28" t="n"/>
      <c r="C53" s="28" t="n"/>
      <c r="D53" s="28" t="n"/>
      <c r="E53" s="28" t="n"/>
      <c r="F53" s="29" t="n"/>
      <c r="G53" s="28" t="n"/>
      <c r="H53" s="28" t="n"/>
      <c r="I53" s="27" t="n"/>
      <c r="J53" s="55">
        <f>IF(OR(I53="",G53="Won",G53="Lost"),"",IF(I53&lt;TODAY(),"OVERDUE",""))</f>
        <v/>
      </c>
      <c r="K53" s="28" t="n"/>
    </row>
    <row r="54">
      <c r="A54" s="27" t="n"/>
      <c r="B54" s="28" t="n"/>
      <c r="C54" s="28" t="n"/>
      <c r="D54" s="28" t="n"/>
      <c r="E54" s="28" t="n"/>
      <c r="F54" s="29" t="n"/>
      <c r="G54" s="28" t="n"/>
      <c r="H54" s="28" t="n"/>
      <c r="I54" s="27" t="n"/>
      <c r="J54" s="55">
        <f>IF(OR(I54="",G54="Won",G54="Lost"),"",IF(I54&lt;TODAY(),"OVERDUE",""))</f>
        <v/>
      </c>
      <c r="K54" s="28" t="n"/>
    </row>
    <row r="55">
      <c r="A55" s="27" t="n"/>
      <c r="B55" s="28" t="n"/>
      <c r="C55" s="28" t="n"/>
      <c r="D55" s="28" t="n"/>
      <c r="E55" s="28" t="n"/>
      <c r="F55" s="29" t="n"/>
      <c r="G55" s="28" t="n"/>
      <c r="H55" s="28" t="n"/>
      <c r="I55" s="27" t="n"/>
      <c r="J55" s="55">
        <f>IF(OR(I55="",G55="Won",G55="Lost"),"",IF(I55&lt;TODAY(),"OVERDUE",""))</f>
        <v/>
      </c>
      <c r="K55" s="28" t="n"/>
    </row>
    <row r="56">
      <c r="A56" s="27" t="n"/>
      <c r="B56" s="28" t="n"/>
      <c r="C56" s="28" t="n"/>
      <c r="D56" s="28" t="n"/>
      <c r="E56" s="28" t="n"/>
      <c r="F56" s="29" t="n"/>
      <c r="G56" s="28" t="n"/>
      <c r="H56" s="28" t="n"/>
      <c r="I56" s="27" t="n"/>
      <c r="J56" s="55">
        <f>IF(OR(I56="",G56="Won",G56="Lost"),"",IF(I56&lt;TODAY(),"OVERDUE",""))</f>
        <v/>
      </c>
      <c r="K56" s="28" t="n"/>
    </row>
    <row r="57">
      <c r="A57" s="27" t="n"/>
      <c r="B57" s="28" t="n"/>
      <c r="C57" s="28" t="n"/>
      <c r="D57" s="28" t="n"/>
      <c r="E57" s="28" t="n"/>
      <c r="F57" s="29" t="n"/>
      <c r="G57" s="28" t="n"/>
      <c r="H57" s="28" t="n"/>
      <c r="I57" s="27" t="n"/>
      <c r="J57" s="55">
        <f>IF(OR(I57="",G57="Won",G57="Lost"),"",IF(I57&lt;TODAY(),"OVERDUE",""))</f>
        <v/>
      </c>
      <c r="K57" s="28" t="n"/>
    </row>
    <row r="58">
      <c r="A58" s="27" t="n"/>
      <c r="B58" s="28" t="n"/>
      <c r="C58" s="28" t="n"/>
      <c r="D58" s="28" t="n"/>
      <c r="E58" s="28" t="n"/>
      <c r="F58" s="29" t="n"/>
      <c r="G58" s="28" t="n"/>
      <c r="H58" s="28" t="n"/>
      <c r="I58" s="27" t="n"/>
      <c r="J58" s="55">
        <f>IF(OR(I58="",G58="Won",G58="Lost"),"",IF(I58&lt;TODAY(),"OVERDUE",""))</f>
        <v/>
      </c>
      <c r="K58" s="28" t="n"/>
    </row>
    <row r="59">
      <c r="A59" s="27" t="n"/>
      <c r="B59" s="28" t="n"/>
      <c r="C59" s="28" t="n"/>
      <c r="D59" s="28" t="n"/>
      <c r="E59" s="28" t="n"/>
      <c r="F59" s="29" t="n"/>
      <c r="G59" s="28" t="n"/>
      <c r="H59" s="28" t="n"/>
      <c r="I59" s="27" t="n"/>
      <c r="J59" s="55">
        <f>IF(OR(I59="",G59="Won",G59="Lost"),"",IF(I59&lt;TODAY(),"OVERDUE",""))</f>
        <v/>
      </c>
      <c r="K59" s="28" t="n"/>
    </row>
    <row r="60">
      <c r="A60" s="27" t="n"/>
      <c r="B60" s="28" t="n"/>
      <c r="C60" s="28" t="n"/>
      <c r="D60" s="28" t="n"/>
      <c r="E60" s="28" t="n"/>
      <c r="F60" s="29" t="n"/>
      <c r="G60" s="28" t="n"/>
      <c r="H60" s="28" t="n"/>
      <c r="I60" s="27" t="n"/>
      <c r="J60" s="55">
        <f>IF(OR(I60="",G60="Won",G60="Lost"),"",IF(I60&lt;TODAY(),"OVERDUE",""))</f>
        <v/>
      </c>
      <c r="K60" s="28" t="n"/>
    </row>
    <row r="61">
      <c r="A61" s="27" t="n"/>
      <c r="B61" s="28" t="n"/>
      <c r="C61" s="28" t="n"/>
      <c r="D61" s="28" t="n"/>
      <c r="E61" s="28" t="n"/>
      <c r="F61" s="29" t="n"/>
      <c r="G61" s="28" t="n"/>
      <c r="H61" s="28" t="n"/>
      <c r="I61" s="27" t="n"/>
      <c r="J61" s="55">
        <f>IF(OR(I61="",G61="Won",G61="Lost"),"",IF(I61&lt;TODAY(),"OVERDUE",""))</f>
        <v/>
      </c>
      <c r="K61" s="28" t="n"/>
    </row>
    <row r="62">
      <c r="A62" s="27" t="n"/>
      <c r="B62" s="28" t="n"/>
      <c r="C62" s="28" t="n"/>
      <c r="D62" s="28" t="n"/>
      <c r="E62" s="28" t="n"/>
      <c r="F62" s="29" t="n"/>
      <c r="G62" s="28" t="n"/>
      <c r="H62" s="28" t="n"/>
      <c r="I62" s="27" t="n"/>
      <c r="J62" s="55">
        <f>IF(OR(I62="",G62="Won",G62="Lost"),"",IF(I62&lt;TODAY(),"OVERDUE",""))</f>
        <v/>
      </c>
      <c r="K62" s="28" t="n"/>
    </row>
    <row r="63">
      <c r="A63" s="27" t="n"/>
      <c r="B63" s="28" t="n"/>
      <c r="C63" s="28" t="n"/>
      <c r="D63" s="28" t="n"/>
      <c r="E63" s="28" t="n"/>
      <c r="F63" s="29" t="n"/>
      <c r="G63" s="28" t="n"/>
      <c r="H63" s="28" t="n"/>
      <c r="I63" s="27" t="n"/>
      <c r="J63" s="55">
        <f>IF(OR(I63="",G63="Won",G63="Lost"),"",IF(I63&lt;TODAY(),"OVERDUE",""))</f>
        <v/>
      </c>
      <c r="K63" s="28" t="n"/>
    </row>
    <row r="64">
      <c r="A64" s="27" t="n"/>
      <c r="B64" s="28" t="n"/>
      <c r="C64" s="28" t="n"/>
      <c r="D64" s="28" t="n"/>
      <c r="E64" s="28" t="n"/>
      <c r="F64" s="29" t="n"/>
      <c r="G64" s="28" t="n"/>
      <c r="H64" s="28" t="n"/>
      <c r="I64" s="27" t="n"/>
      <c r="J64" s="55">
        <f>IF(OR(I64="",G64="Won",G64="Lost"),"",IF(I64&lt;TODAY(),"OVERDUE",""))</f>
        <v/>
      </c>
      <c r="K64" s="28" t="n"/>
    </row>
    <row r="65">
      <c r="A65" s="27" t="n"/>
      <c r="B65" s="28" t="n"/>
      <c r="C65" s="28" t="n"/>
      <c r="D65" s="28" t="n"/>
      <c r="E65" s="28" t="n"/>
      <c r="F65" s="29" t="n"/>
      <c r="G65" s="28" t="n"/>
      <c r="H65" s="28" t="n"/>
      <c r="I65" s="27" t="n"/>
      <c r="J65" s="55">
        <f>IF(OR(I65="",G65="Won",G65="Lost"),"",IF(I65&lt;TODAY(),"OVERDUE",""))</f>
        <v/>
      </c>
      <c r="K65" s="28" t="n"/>
    </row>
    <row r="66">
      <c r="A66" s="27" t="n"/>
      <c r="B66" s="28" t="n"/>
      <c r="C66" s="28" t="n"/>
      <c r="D66" s="28" t="n"/>
      <c r="E66" s="28" t="n"/>
      <c r="F66" s="29" t="n"/>
      <c r="G66" s="28" t="n"/>
      <c r="H66" s="28" t="n"/>
      <c r="I66" s="27" t="n"/>
      <c r="J66" s="55">
        <f>IF(OR(I66="",G66="Won",G66="Lost"),"",IF(I66&lt;TODAY(),"OVERDUE",""))</f>
        <v/>
      </c>
      <c r="K66" s="28" t="n"/>
    </row>
    <row r="67">
      <c r="A67" s="27" t="n"/>
      <c r="B67" s="28" t="n"/>
      <c r="C67" s="28" t="n"/>
      <c r="D67" s="28" t="n"/>
      <c r="E67" s="28" t="n"/>
      <c r="F67" s="29" t="n"/>
      <c r="G67" s="28" t="n"/>
      <c r="H67" s="28" t="n"/>
      <c r="I67" s="27" t="n"/>
      <c r="J67" s="55">
        <f>IF(OR(I67="",G67="Won",G67="Lost"),"",IF(I67&lt;TODAY(),"OVERDUE",""))</f>
        <v/>
      </c>
      <c r="K67" s="28" t="n"/>
    </row>
    <row r="68">
      <c r="A68" s="27" t="n"/>
      <c r="B68" s="28" t="n"/>
      <c r="C68" s="28" t="n"/>
      <c r="D68" s="28" t="n"/>
      <c r="E68" s="28" t="n"/>
      <c r="F68" s="29" t="n"/>
      <c r="G68" s="28" t="n"/>
      <c r="H68" s="28" t="n"/>
      <c r="I68" s="27" t="n"/>
      <c r="J68" s="55">
        <f>IF(OR(I68="",G68="Won",G68="Lost"),"",IF(I68&lt;TODAY(),"OVERDUE",""))</f>
        <v/>
      </c>
      <c r="K68" s="28" t="n"/>
    </row>
    <row r="69">
      <c r="A69" s="27" t="n"/>
      <c r="B69" s="28" t="n"/>
      <c r="C69" s="28" t="n"/>
      <c r="D69" s="28" t="n"/>
      <c r="E69" s="28" t="n"/>
      <c r="F69" s="29" t="n"/>
      <c r="G69" s="28" t="n"/>
      <c r="H69" s="28" t="n"/>
      <c r="I69" s="27" t="n"/>
      <c r="J69" s="55">
        <f>IF(OR(I69="",G69="Won",G69="Lost"),"",IF(I69&lt;TODAY(),"OVERDUE",""))</f>
        <v/>
      </c>
      <c r="K69" s="28" t="n"/>
    </row>
    <row r="70">
      <c r="A70" s="27" t="n"/>
      <c r="B70" s="28" t="n"/>
      <c r="C70" s="28" t="n"/>
      <c r="D70" s="28" t="n"/>
      <c r="E70" s="28" t="n"/>
      <c r="F70" s="29" t="n"/>
      <c r="G70" s="28" t="n"/>
      <c r="H70" s="28" t="n"/>
      <c r="I70" s="27" t="n"/>
      <c r="J70" s="55">
        <f>IF(OR(I70="",G70="Won",G70="Lost"),"",IF(I70&lt;TODAY(),"OVERDUE",""))</f>
        <v/>
      </c>
      <c r="K70" s="28" t="n"/>
    </row>
    <row r="71">
      <c r="A71" s="27" t="n"/>
      <c r="B71" s="28" t="n"/>
      <c r="C71" s="28" t="n"/>
      <c r="D71" s="28" t="n"/>
      <c r="E71" s="28" t="n"/>
      <c r="F71" s="29" t="n"/>
      <c r="G71" s="28" t="n"/>
      <c r="H71" s="28" t="n"/>
      <c r="I71" s="27" t="n"/>
      <c r="J71" s="55">
        <f>IF(OR(I71="",G71="Won",G71="Lost"),"",IF(I71&lt;TODAY(),"OVERDUE",""))</f>
        <v/>
      </c>
      <c r="K71" s="28" t="n"/>
    </row>
    <row r="72">
      <c r="A72" s="27" t="n"/>
      <c r="B72" s="28" t="n"/>
      <c r="C72" s="28" t="n"/>
      <c r="D72" s="28" t="n"/>
      <c r="E72" s="28" t="n"/>
      <c r="F72" s="29" t="n"/>
      <c r="G72" s="28" t="n"/>
      <c r="H72" s="28" t="n"/>
      <c r="I72" s="27" t="n"/>
      <c r="J72" s="55">
        <f>IF(OR(I72="",G72="Won",G72="Lost"),"",IF(I72&lt;TODAY(),"OVERDUE",""))</f>
        <v/>
      </c>
      <c r="K72" s="28" t="n"/>
    </row>
    <row r="73">
      <c r="A73" s="27" t="n"/>
      <c r="B73" s="28" t="n"/>
      <c r="C73" s="28" t="n"/>
      <c r="D73" s="28" t="n"/>
      <c r="E73" s="28" t="n"/>
      <c r="F73" s="29" t="n"/>
      <c r="G73" s="28" t="n"/>
      <c r="H73" s="28" t="n"/>
      <c r="I73" s="27" t="n"/>
      <c r="J73" s="55">
        <f>IF(OR(I73="",G73="Won",G73="Lost"),"",IF(I73&lt;TODAY(),"OVERDUE",""))</f>
        <v/>
      </c>
      <c r="K73" s="28" t="n"/>
    </row>
    <row r="74">
      <c r="A74" s="27" t="n"/>
      <c r="B74" s="28" t="n"/>
      <c r="C74" s="28" t="n"/>
      <c r="D74" s="28" t="n"/>
      <c r="E74" s="28" t="n"/>
      <c r="F74" s="29" t="n"/>
      <c r="G74" s="28" t="n"/>
      <c r="H74" s="28" t="n"/>
      <c r="I74" s="27" t="n"/>
      <c r="J74" s="55">
        <f>IF(OR(I74="",G74="Won",G74="Lost"),"",IF(I74&lt;TODAY(),"OVERDUE",""))</f>
        <v/>
      </c>
      <c r="K74" s="28" t="n"/>
    </row>
    <row r="75">
      <c r="A75" s="27" t="n"/>
      <c r="B75" s="28" t="n"/>
      <c r="C75" s="28" t="n"/>
      <c r="D75" s="28" t="n"/>
      <c r="E75" s="28" t="n"/>
      <c r="F75" s="29" t="n"/>
      <c r="G75" s="28" t="n"/>
      <c r="H75" s="28" t="n"/>
      <c r="I75" s="27" t="n"/>
      <c r="J75" s="55">
        <f>IF(OR(I75="",G75="Won",G75="Lost"),"",IF(I75&lt;TODAY(),"OVERDUE",""))</f>
        <v/>
      </c>
      <c r="K75" s="28" t="n"/>
    </row>
    <row r="76">
      <c r="A76" s="27" t="n"/>
      <c r="B76" s="28" t="n"/>
      <c r="C76" s="28" t="n"/>
      <c r="D76" s="28" t="n"/>
      <c r="E76" s="28" t="n"/>
      <c r="F76" s="29" t="n"/>
      <c r="G76" s="28" t="n"/>
      <c r="H76" s="28" t="n"/>
      <c r="I76" s="27" t="n"/>
      <c r="J76" s="55">
        <f>IF(OR(I76="",G76="Won",G76="Lost"),"",IF(I76&lt;TODAY(),"OVERDUE",""))</f>
        <v/>
      </c>
      <c r="K76" s="28" t="n"/>
    </row>
    <row r="77">
      <c r="A77" s="27" t="n"/>
      <c r="B77" s="28" t="n"/>
      <c r="C77" s="28" t="n"/>
      <c r="D77" s="28" t="n"/>
      <c r="E77" s="28" t="n"/>
      <c r="F77" s="29" t="n"/>
      <c r="G77" s="28" t="n"/>
      <c r="H77" s="28" t="n"/>
      <c r="I77" s="27" t="n"/>
      <c r="J77" s="55">
        <f>IF(OR(I77="",G77="Won",G77="Lost"),"",IF(I77&lt;TODAY(),"OVERDUE",""))</f>
        <v/>
      </c>
      <c r="K77" s="28" t="n"/>
    </row>
    <row r="78">
      <c r="A78" s="27" t="n"/>
      <c r="B78" s="28" t="n"/>
      <c r="C78" s="28" t="n"/>
      <c r="D78" s="28" t="n"/>
      <c r="E78" s="28" t="n"/>
      <c r="F78" s="29" t="n"/>
      <c r="G78" s="28" t="n"/>
      <c r="H78" s="28" t="n"/>
      <c r="I78" s="27" t="n"/>
      <c r="J78" s="55">
        <f>IF(OR(I78="",G78="Won",G78="Lost"),"",IF(I78&lt;TODAY(),"OVERDUE",""))</f>
        <v/>
      </c>
      <c r="K78" s="28" t="n"/>
    </row>
    <row r="79">
      <c r="A79" s="27" t="n"/>
      <c r="B79" s="28" t="n"/>
      <c r="C79" s="28" t="n"/>
      <c r="D79" s="28" t="n"/>
      <c r="E79" s="28" t="n"/>
      <c r="F79" s="29" t="n"/>
      <c r="G79" s="28" t="n"/>
      <c r="H79" s="28" t="n"/>
      <c r="I79" s="27" t="n"/>
      <c r="J79" s="55">
        <f>IF(OR(I79="",G79="Won",G79="Lost"),"",IF(I79&lt;TODAY(),"OVERDUE",""))</f>
        <v/>
      </c>
      <c r="K79" s="28" t="n"/>
    </row>
    <row r="80">
      <c r="A80" s="27" t="n"/>
      <c r="B80" s="28" t="n"/>
      <c r="C80" s="28" t="n"/>
      <c r="D80" s="28" t="n"/>
      <c r="E80" s="28" t="n"/>
      <c r="F80" s="29" t="n"/>
      <c r="G80" s="28" t="n"/>
      <c r="H80" s="28" t="n"/>
      <c r="I80" s="27" t="n"/>
      <c r="J80" s="55">
        <f>IF(OR(I80="",G80="Won",G80="Lost"),"",IF(I80&lt;TODAY(),"OVERDUE",""))</f>
        <v/>
      </c>
      <c r="K80" s="28" t="n"/>
    </row>
    <row r="81">
      <c r="A81" s="27" t="n"/>
      <c r="B81" s="28" t="n"/>
      <c r="C81" s="28" t="n"/>
      <c r="D81" s="28" t="n"/>
      <c r="E81" s="28" t="n"/>
      <c r="F81" s="29" t="n"/>
      <c r="G81" s="28" t="n"/>
      <c r="H81" s="28" t="n"/>
      <c r="I81" s="27" t="n"/>
      <c r="J81" s="55">
        <f>IF(OR(I81="",G81="Won",G81="Lost"),"",IF(I81&lt;TODAY(),"OVERDUE",""))</f>
        <v/>
      </c>
      <c r="K81" s="28" t="n"/>
    </row>
    <row r="82">
      <c r="A82" s="27" t="n"/>
      <c r="B82" s="28" t="n"/>
      <c r="C82" s="28" t="n"/>
      <c r="D82" s="28" t="n"/>
      <c r="E82" s="28" t="n"/>
      <c r="F82" s="29" t="n"/>
      <c r="G82" s="28" t="n"/>
      <c r="H82" s="28" t="n"/>
      <c r="I82" s="27" t="n"/>
      <c r="J82" s="55">
        <f>IF(OR(I82="",G82="Won",G82="Lost"),"",IF(I82&lt;TODAY(),"OVERDUE",""))</f>
        <v/>
      </c>
      <c r="K82" s="28" t="n"/>
    </row>
    <row r="83">
      <c r="A83" s="27" t="n"/>
      <c r="B83" s="28" t="n"/>
      <c r="C83" s="28" t="n"/>
      <c r="D83" s="28" t="n"/>
      <c r="E83" s="28" t="n"/>
      <c r="F83" s="29" t="n"/>
      <c r="G83" s="28" t="n"/>
      <c r="H83" s="28" t="n"/>
      <c r="I83" s="27" t="n"/>
      <c r="J83" s="55">
        <f>IF(OR(I83="",G83="Won",G83="Lost"),"",IF(I83&lt;TODAY(),"OVERDUE",""))</f>
        <v/>
      </c>
      <c r="K83" s="28" t="n"/>
    </row>
    <row r="84">
      <c r="A84" s="27" t="n"/>
      <c r="B84" s="28" t="n"/>
      <c r="C84" s="28" t="n"/>
      <c r="D84" s="28" t="n"/>
      <c r="E84" s="28" t="n"/>
      <c r="F84" s="29" t="n"/>
      <c r="G84" s="28" t="n"/>
      <c r="H84" s="28" t="n"/>
      <c r="I84" s="27" t="n"/>
      <c r="J84" s="55">
        <f>IF(OR(I84="",G84="Won",G84="Lost"),"",IF(I84&lt;TODAY(),"OVERDUE",""))</f>
        <v/>
      </c>
      <c r="K84" s="28" t="n"/>
    </row>
    <row r="85">
      <c r="A85" s="27" t="n"/>
      <c r="B85" s="28" t="n"/>
      <c r="C85" s="28" t="n"/>
      <c r="D85" s="28" t="n"/>
      <c r="E85" s="28" t="n"/>
      <c r="F85" s="29" t="n"/>
      <c r="G85" s="28" t="n"/>
      <c r="H85" s="28" t="n"/>
      <c r="I85" s="27" t="n"/>
      <c r="J85" s="55">
        <f>IF(OR(I85="",G85="Won",G85="Lost"),"",IF(I85&lt;TODAY(),"OVERDUE",""))</f>
        <v/>
      </c>
      <c r="K85" s="28" t="n"/>
    </row>
    <row r="86">
      <c r="A86" s="27" t="n"/>
      <c r="B86" s="28" t="n"/>
      <c r="C86" s="28" t="n"/>
      <c r="D86" s="28" t="n"/>
      <c r="E86" s="28" t="n"/>
      <c r="F86" s="29" t="n"/>
      <c r="G86" s="28" t="n"/>
      <c r="H86" s="28" t="n"/>
      <c r="I86" s="27" t="n"/>
      <c r="J86" s="55">
        <f>IF(OR(I86="",G86="Won",G86="Lost"),"",IF(I86&lt;TODAY(),"OVERDUE",""))</f>
        <v/>
      </c>
      <c r="K86" s="28" t="n"/>
    </row>
    <row r="87">
      <c r="A87" s="27" t="n"/>
      <c r="B87" s="28" t="n"/>
      <c r="C87" s="28" t="n"/>
      <c r="D87" s="28" t="n"/>
      <c r="E87" s="28" t="n"/>
      <c r="F87" s="29" t="n"/>
      <c r="G87" s="28" t="n"/>
      <c r="H87" s="28" t="n"/>
      <c r="I87" s="27" t="n"/>
      <c r="J87" s="55">
        <f>IF(OR(I87="",G87="Won",G87="Lost"),"",IF(I87&lt;TODAY(),"OVERDUE",""))</f>
        <v/>
      </c>
      <c r="K87" s="28" t="n"/>
    </row>
    <row r="88">
      <c r="A88" s="27" t="n"/>
      <c r="B88" s="28" t="n"/>
      <c r="C88" s="28" t="n"/>
      <c r="D88" s="28" t="n"/>
      <c r="E88" s="28" t="n"/>
      <c r="F88" s="29" t="n"/>
      <c r="G88" s="28" t="n"/>
      <c r="H88" s="28" t="n"/>
      <c r="I88" s="27" t="n"/>
      <c r="J88" s="55">
        <f>IF(OR(I88="",G88="Won",G88="Lost"),"",IF(I88&lt;TODAY(),"OVERDUE",""))</f>
        <v/>
      </c>
      <c r="K88" s="28" t="n"/>
    </row>
    <row r="89">
      <c r="A89" s="27" t="n"/>
      <c r="B89" s="28" t="n"/>
      <c r="C89" s="28" t="n"/>
      <c r="D89" s="28" t="n"/>
      <c r="E89" s="28" t="n"/>
      <c r="F89" s="29" t="n"/>
      <c r="G89" s="28" t="n"/>
      <c r="H89" s="28" t="n"/>
      <c r="I89" s="27" t="n"/>
      <c r="J89" s="55">
        <f>IF(OR(I89="",G89="Won",G89="Lost"),"",IF(I89&lt;TODAY(),"OVERDUE",""))</f>
        <v/>
      </c>
      <c r="K89" s="28" t="n"/>
    </row>
    <row r="90">
      <c r="A90" s="27" t="n"/>
      <c r="B90" s="28" t="n"/>
      <c r="C90" s="28" t="n"/>
      <c r="D90" s="28" t="n"/>
      <c r="E90" s="28" t="n"/>
      <c r="F90" s="29" t="n"/>
      <c r="G90" s="28" t="n"/>
      <c r="H90" s="28" t="n"/>
      <c r="I90" s="27" t="n"/>
      <c r="J90" s="55">
        <f>IF(OR(I90="",G90="Won",G90="Lost"),"",IF(I90&lt;TODAY(),"OVERDUE",""))</f>
        <v/>
      </c>
      <c r="K90" s="28" t="n"/>
    </row>
    <row r="91">
      <c r="A91" s="27" t="n"/>
      <c r="B91" s="28" t="n"/>
      <c r="C91" s="28" t="n"/>
      <c r="D91" s="28" t="n"/>
      <c r="E91" s="28" t="n"/>
      <c r="F91" s="29" t="n"/>
      <c r="G91" s="28" t="n"/>
      <c r="H91" s="28" t="n"/>
      <c r="I91" s="27" t="n"/>
      <c r="J91" s="55">
        <f>IF(OR(I91="",G91="Won",G91="Lost"),"",IF(I91&lt;TODAY(),"OVERDUE",""))</f>
        <v/>
      </c>
      <c r="K91" s="28" t="n"/>
    </row>
    <row r="92">
      <c r="A92" s="27" t="n"/>
      <c r="B92" s="28" t="n"/>
      <c r="C92" s="28" t="n"/>
      <c r="D92" s="28" t="n"/>
      <c r="E92" s="28" t="n"/>
      <c r="F92" s="29" t="n"/>
      <c r="G92" s="28" t="n"/>
      <c r="H92" s="28" t="n"/>
      <c r="I92" s="27" t="n"/>
      <c r="J92" s="55">
        <f>IF(OR(I92="",G92="Won",G92="Lost"),"",IF(I92&lt;TODAY(),"OVERDUE",""))</f>
        <v/>
      </c>
      <c r="K92" s="28" t="n"/>
    </row>
    <row r="93">
      <c r="A93" s="27" t="n"/>
      <c r="B93" s="28" t="n"/>
      <c r="C93" s="28" t="n"/>
      <c r="D93" s="28" t="n"/>
      <c r="E93" s="28" t="n"/>
      <c r="F93" s="29" t="n"/>
      <c r="G93" s="28" t="n"/>
      <c r="H93" s="28" t="n"/>
      <c r="I93" s="27" t="n"/>
      <c r="J93" s="55">
        <f>IF(OR(I93="",G93="Won",G93="Lost"),"",IF(I93&lt;TODAY(),"OVERDUE",""))</f>
        <v/>
      </c>
      <c r="K93" s="28" t="n"/>
    </row>
    <row r="94">
      <c r="A94" s="27" t="n"/>
      <c r="B94" s="28" t="n"/>
      <c r="C94" s="28" t="n"/>
      <c r="D94" s="28" t="n"/>
      <c r="E94" s="28" t="n"/>
      <c r="F94" s="29" t="n"/>
      <c r="G94" s="28" t="n"/>
      <c r="H94" s="28" t="n"/>
      <c r="I94" s="27" t="n"/>
      <c r="J94" s="55">
        <f>IF(OR(I94="",G94="Won",G94="Lost"),"",IF(I94&lt;TODAY(),"OVERDUE",""))</f>
        <v/>
      </c>
      <c r="K94" s="28" t="n"/>
    </row>
    <row r="95">
      <c r="A95" s="27" t="n"/>
      <c r="B95" s="28" t="n"/>
      <c r="C95" s="28" t="n"/>
      <c r="D95" s="28" t="n"/>
      <c r="E95" s="28" t="n"/>
      <c r="F95" s="29" t="n"/>
      <c r="G95" s="28" t="n"/>
      <c r="H95" s="28" t="n"/>
      <c r="I95" s="27" t="n"/>
      <c r="J95" s="55">
        <f>IF(OR(I95="",G95="Won",G95="Lost"),"",IF(I95&lt;TODAY(),"OVERDUE",""))</f>
        <v/>
      </c>
      <c r="K95" s="28" t="n"/>
    </row>
    <row r="96">
      <c r="A96" s="27" t="n"/>
      <c r="B96" s="28" t="n"/>
      <c r="C96" s="28" t="n"/>
      <c r="D96" s="28" t="n"/>
      <c r="E96" s="28" t="n"/>
      <c r="F96" s="29" t="n"/>
      <c r="G96" s="28" t="n"/>
      <c r="H96" s="28" t="n"/>
      <c r="I96" s="27" t="n"/>
      <c r="J96" s="55">
        <f>IF(OR(I96="",G96="Won",G96="Lost"),"",IF(I96&lt;TODAY(),"OVERDUE",""))</f>
        <v/>
      </c>
      <c r="K96" s="28" t="n"/>
    </row>
    <row r="97">
      <c r="A97" s="27" t="n"/>
      <c r="B97" s="28" t="n"/>
      <c r="C97" s="28" t="n"/>
      <c r="D97" s="28" t="n"/>
      <c r="E97" s="28" t="n"/>
      <c r="F97" s="29" t="n"/>
      <c r="G97" s="28" t="n"/>
      <c r="H97" s="28" t="n"/>
      <c r="I97" s="27" t="n"/>
      <c r="J97" s="55">
        <f>IF(OR(I97="",G97="Won",G97="Lost"),"",IF(I97&lt;TODAY(),"OVERDUE",""))</f>
        <v/>
      </c>
      <c r="K97" s="28" t="n"/>
    </row>
    <row r="98">
      <c r="A98" s="27" t="n"/>
      <c r="B98" s="28" t="n"/>
      <c r="C98" s="28" t="n"/>
      <c r="D98" s="28" t="n"/>
      <c r="E98" s="28" t="n"/>
      <c r="F98" s="29" t="n"/>
      <c r="G98" s="28" t="n"/>
      <c r="H98" s="28" t="n"/>
      <c r="I98" s="27" t="n"/>
      <c r="J98" s="55">
        <f>IF(OR(I98="",G98="Won",G98="Lost"),"",IF(I98&lt;TODAY(),"OVERDUE",""))</f>
        <v/>
      </c>
      <c r="K98" s="28" t="n"/>
    </row>
    <row r="99">
      <c r="A99" s="27" t="n"/>
      <c r="B99" s="28" t="n"/>
      <c r="C99" s="28" t="n"/>
      <c r="D99" s="28" t="n"/>
      <c r="E99" s="28" t="n"/>
      <c r="F99" s="29" t="n"/>
      <c r="G99" s="28" t="n"/>
      <c r="H99" s="28" t="n"/>
      <c r="I99" s="27" t="n"/>
      <c r="J99" s="55">
        <f>IF(OR(I99="",G99="Won",G99="Lost"),"",IF(I99&lt;TODAY(),"OVERDUE",""))</f>
        <v/>
      </c>
      <c r="K99" s="28" t="n"/>
    </row>
    <row r="100">
      <c r="A100" s="27" t="n"/>
      <c r="B100" s="28" t="n"/>
      <c r="C100" s="28" t="n"/>
      <c r="D100" s="28" t="n"/>
      <c r="E100" s="28" t="n"/>
      <c r="F100" s="29" t="n"/>
      <c r="G100" s="28" t="n"/>
      <c r="H100" s="28" t="n"/>
      <c r="I100" s="27" t="n"/>
      <c r="J100" s="55">
        <f>IF(OR(I100="",G100="Won",G100="Lost"),"",IF(I100&lt;TODAY(),"OVERDUE",""))</f>
        <v/>
      </c>
      <c r="K100" s="28" t="n"/>
    </row>
    <row r="101">
      <c r="A101" s="27" t="n"/>
      <c r="B101" s="28" t="n"/>
      <c r="C101" s="28" t="n"/>
      <c r="D101" s="28" t="n"/>
      <c r="E101" s="28" t="n"/>
      <c r="F101" s="29" t="n"/>
      <c r="G101" s="28" t="n"/>
      <c r="H101" s="28" t="n"/>
      <c r="I101" s="27" t="n"/>
      <c r="J101" s="55">
        <f>IF(OR(I101="",G101="Won",G101="Lost"),"",IF(I101&lt;TODAY(),"OVERDUE",""))</f>
        <v/>
      </c>
      <c r="K101" s="28" t="n"/>
    </row>
    <row r="102">
      <c r="A102" s="27" t="n"/>
      <c r="B102" s="28" t="n"/>
      <c r="C102" s="28" t="n"/>
      <c r="D102" s="28" t="n"/>
      <c r="E102" s="28" t="n"/>
      <c r="F102" s="29" t="n"/>
      <c r="G102" s="28" t="n"/>
      <c r="H102" s="28" t="n"/>
      <c r="I102" s="27" t="n"/>
      <c r="J102" s="55">
        <f>IF(OR(I102="",G102="Won",G102="Lost"),"",IF(I102&lt;TODAY(),"OVERDUE",""))</f>
        <v/>
      </c>
      <c r="K102" s="28" t="n"/>
    </row>
    <row r="103">
      <c r="A103" s="27" t="n"/>
      <c r="B103" s="28" t="n"/>
      <c r="C103" s="28" t="n"/>
      <c r="D103" s="28" t="n"/>
      <c r="E103" s="28" t="n"/>
      <c r="F103" s="29" t="n"/>
      <c r="G103" s="28" t="n"/>
      <c r="H103" s="28" t="n"/>
      <c r="I103" s="27" t="n"/>
      <c r="J103" s="55">
        <f>IF(OR(I103="",G103="Won",G103="Lost"),"",IF(I103&lt;TODAY(),"OVERDUE",""))</f>
        <v/>
      </c>
      <c r="K103" s="28" t="n"/>
    </row>
    <row r="104">
      <c r="A104" s="27" t="n"/>
      <c r="B104" s="28" t="n"/>
      <c r="C104" s="28" t="n"/>
      <c r="D104" s="28" t="n"/>
      <c r="E104" s="28" t="n"/>
      <c r="F104" s="29" t="n"/>
      <c r="G104" s="28" t="n"/>
      <c r="H104" s="28" t="n"/>
      <c r="I104" s="27" t="n"/>
      <c r="J104" s="55">
        <f>IF(OR(I104="",G104="Won",G104="Lost"),"",IF(I104&lt;TODAY(),"OVERDUE",""))</f>
        <v/>
      </c>
      <c r="K104" s="28" t="n"/>
    </row>
    <row r="105">
      <c r="A105" s="27" t="n"/>
      <c r="B105" s="28" t="n"/>
      <c r="C105" s="28" t="n"/>
      <c r="D105" s="28" t="n"/>
      <c r="E105" s="28" t="n"/>
      <c r="F105" s="29" t="n"/>
      <c r="G105" s="28" t="n"/>
      <c r="H105" s="28" t="n"/>
      <c r="I105" s="27" t="n"/>
      <c r="J105" s="55">
        <f>IF(OR(I105="",G105="Won",G105="Lost"),"",IF(I105&lt;TODAY(),"OVERDUE",""))</f>
        <v/>
      </c>
      <c r="K105" s="28" t="n"/>
    </row>
    <row r="106">
      <c r="A106" s="27" t="n"/>
      <c r="B106" s="28" t="n"/>
      <c r="C106" s="28" t="n"/>
      <c r="D106" s="28" t="n"/>
      <c r="E106" s="28" t="n"/>
      <c r="F106" s="29" t="n"/>
      <c r="G106" s="28" t="n"/>
      <c r="H106" s="28" t="n"/>
      <c r="I106" s="27" t="n"/>
      <c r="J106" s="55">
        <f>IF(OR(I106="",G106="Won",G106="Lost"),"",IF(I106&lt;TODAY(),"OVERDUE",""))</f>
        <v/>
      </c>
      <c r="K106" s="28" t="n"/>
    </row>
    <row r="107">
      <c r="A107" s="27" t="n"/>
      <c r="B107" s="28" t="n"/>
      <c r="C107" s="28" t="n"/>
      <c r="D107" s="28" t="n"/>
      <c r="E107" s="28" t="n"/>
      <c r="F107" s="29" t="n"/>
      <c r="G107" s="28" t="n"/>
      <c r="H107" s="28" t="n"/>
      <c r="I107" s="27" t="n"/>
      <c r="J107" s="55">
        <f>IF(OR(I107="",G107="Won",G107="Lost"),"",IF(I107&lt;TODAY(),"OVERDUE",""))</f>
        <v/>
      </c>
      <c r="K107" s="28" t="n"/>
    </row>
    <row r="108">
      <c r="A108" s="27" t="n"/>
      <c r="B108" s="28" t="n"/>
      <c r="C108" s="28" t="n"/>
      <c r="D108" s="28" t="n"/>
      <c r="E108" s="28" t="n"/>
      <c r="F108" s="29" t="n"/>
      <c r="G108" s="28" t="n"/>
      <c r="H108" s="28" t="n"/>
      <c r="I108" s="27" t="n"/>
      <c r="J108" s="55">
        <f>IF(OR(I108="",G108="Won",G108="Lost"),"",IF(I108&lt;TODAY(),"OVERDUE",""))</f>
        <v/>
      </c>
      <c r="K108" s="28" t="n"/>
    </row>
    <row r="109">
      <c r="A109" s="27" t="n"/>
      <c r="B109" s="28" t="n"/>
      <c r="C109" s="28" t="n"/>
      <c r="D109" s="28" t="n"/>
      <c r="E109" s="28" t="n"/>
      <c r="F109" s="29" t="n"/>
      <c r="G109" s="28" t="n"/>
      <c r="H109" s="28" t="n"/>
      <c r="I109" s="27" t="n"/>
      <c r="J109" s="55">
        <f>IF(OR(I109="",G109="Won",G109="Lost"),"",IF(I109&lt;TODAY(),"OVERDUE",""))</f>
        <v/>
      </c>
      <c r="K109" s="28" t="n"/>
    </row>
    <row r="110">
      <c r="A110" s="27" t="n"/>
      <c r="B110" s="28" t="n"/>
      <c r="C110" s="28" t="n"/>
      <c r="D110" s="28" t="n"/>
      <c r="E110" s="28" t="n"/>
      <c r="F110" s="29" t="n"/>
      <c r="G110" s="28" t="n"/>
      <c r="H110" s="28" t="n"/>
      <c r="I110" s="27" t="n"/>
      <c r="J110" s="55">
        <f>IF(OR(I110="",G110="Won",G110="Lost"),"",IF(I110&lt;TODAY(),"OVERDUE",""))</f>
        <v/>
      </c>
      <c r="K110" s="28" t="n"/>
    </row>
    <row r="111">
      <c r="A111" s="27" t="n"/>
      <c r="B111" s="28" t="n"/>
      <c r="C111" s="28" t="n"/>
      <c r="D111" s="28" t="n"/>
      <c r="E111" s="28" t="n"/>
      <c r="F111" s="29" t="n"/>
      <c r="G111" s="28" t="n"/>
      <c r="H111" s="28" t="n"/>
      <c r="I111" s="27" t="n"/>
      <c r="J111" s="55">
        <f>IF(OR(I111="",G111="Won",G111="Lost"),"",IF(I111&lt;TODAY(),"OVERDUE",""))</f>
        <v/>
      </c>
      <c r="K111" s="28" t="n"/>
    </row>
    <row r="112">
      <c r="A112" s="27" t="n"/>
      <c r="B112" s="28" t="n"/>
      <c r="C112" s="28" t="n"/>
      <c r="D112" s="28" t="n"/>
      <c r="E112" s="28" t="n"/>
      <c r="F112" s="29" t="n"/>
      <c r="G112" s="28" t="n"/>
      <c r="H112" s="28" t="n"/>
      <c r="I112" s="27" t="n"/>
      <c r="J112" s="55">
        <f>IF(OR(I112="",G112="Won",G112="Lost"),"",IF(I112&lt;TODAY(),"OVERDUE",""))</f>
        <v/>
      </c>
      <c r="K112" s="28" t="n"/>
    </row>
    <row r="113">
      <c r="A113" s="27" t="n"/>
      <c r="B113" s="28" t="n"/>
      <c r="C113" s="28" t="n"/>
      <c r="D113" s="28" t="n"/>
      <c r="E113" s="28" t="n"/>
      <c r="F113" s="29" t="n"/>
      <c r="G113" s="28" t="n"/>
      <c r="H113" s="28" t="n"/>
      <c r="I113" s="27" t="n"/>
      <c r="J113" s="55">
        <f>IF(OR(I113="",G113="Won",G113="Lost"),"",IF(I113&lt;TODAY(),"OVERDUE",""))</f>
        <v/>
      </c>
      <c r="K113" s="28" t="n"/>
    </row>
    <row r="114">
      <c r="A114" s="27" t="n"/>
      <c r="B114" s="28" t="n"/>
      <c r="C114" s="28" t="n"/>
      <c r="D114" s="28" t="n"/>
      <c r="E114" s="28" t="n"/>
      <c r="F114" s="29" t="n"/>
      <c r="G114" s="28" t="n"/>
      <c r="H114" s="28" t="n"/>
      <c r="I114" s="27" t="n"/>
      <c r="J114" s="55">
        <f>IF(OR(I114="",G114="Won",G114="Lost"),"",IF(I114&lt;TODAY(),"OVERDUE",""))</f>
        <v/>
      </c>
      <c r="K114" s="28" t="n"/>
    </row>
    <row r="115">
      <c r="A115" s="27" t="n"/>
      <c r="B115" s="28" t="n"/>
      <c r="C115" s="28" t="n"/>
      <c r="D115" s="28" t="n"/>
      <c r="E115" s="28" t="n"/>
      <c r="F115" s="29" t="n"/>
      <c r="G115" s="28" t="n"/>
      <c r="H115" s="28" t="n"/>
      <c r="I115" s="27" t="n"/>
      <c r="J115" s="55">
        <f>IF(OR(I115="",G115="Won",G115="Lost"),"",IF(I115&lt;TODAY(),"OVERDUE",""))</f>
        <v/>
      </c>
      <c r="K115" s="28" t="n"/>
    </row>
    <row r="116">
      <c r="A116" s="27" t="n"/>
      <c r="B116" s="28" t="n"/>
      <c r="C116" s="28" t="n"/>
      <c r="D116" s="28" t="n"/>
      <c r="E116" s="28" t="n"/>
      <c r="F116" s="29" t="n"/>
      <c r="G116" s="28" t="n"/>
      <c r="H116" s="28" t="n"/>
      <c r="I116" s="27" t="n"/>
      <c r="J116" s="55">
        <f>IF(OR(I116="",G116="Won",G116="Lost"),"",IF(I116&lt;TODAY(),"OVERDUE",""))</f>
        <v/>
      </c>
      <c r="K116" s="28" t="n"/>
    </row>
    <row r="117">
      <c r="A117" s="27" t="n"/>
      <c r="B117" s="28" t="n"/>
      <c r="C117" s="28" t="n"/>
      <c r="D117" s="28" t="n"/>
      <c r="E117" s="28" t="n"/>
      <c r="F117" s="29" t="n"/>
      <c r="G117" s="28" t="n"/>
      <c r="H117" s="28" t="n"/>
      <c r="I117" s="27" t="n"/>
      <c r="J117" s="55">
        <f>IF(OR(I117="",G117="Won",G117="Lost"),"",IF(I117&lt;TODAY(),"OVERDUE",""))</f>
        <v/>
      </c>
      <c r="K117" s="28" t="n"/>
    </row>
    <row r="118">
      <c r="A118" s="27" t="n"/>
      <c r="B118" s="28" t="n"/>
      <c r="C118" s="28" t="n"/>
      <c r="D118" s="28" t="n"/>
      <c r="E118" s="28" t="n"/>
      <c r="F118" s="29" t="n"/>
      <c r="G118" s="28" t="n"/>
      <c r="H118" s="28" t="n"/>
      <c r="I118" s="27" t="n"/>
      <c r="J118" s="55">
        <f>IF(OR(I118="",G118="Won",G118="Lost"),"",IF(I118&lt;TODAY(),"OVERDUE",""))</f>
        <v/>
      </c>
      <c r="K118" s="28" t="n"/>
    </row>
    <row r="119">
      <c r="A119" s="27" t="n"/>
      <c r="B119" s="28" t="n"/>
      <c r="C119" s="28" t="n"/>
      <c r="D119" s="28" t="n"/>
      <c r="E119" s="28" t="n"/>
      <c r="F119" s="29" t="n"/>
      <c r="G119" s="28" t="n"/>
      <c r="H119" s="28" t="n"/>
      <c r="I119" s="27" t="n"/>
      <c r="J119" s="55">
        <f>IF(OR(I119="",G119="Won",G119="Lost"),"",IF(I119&lt;TODAY(),"OVERDUE",""))</f>
        <v/>
      </c>
      <c r="K119" s="28" t="n"/>
    </row>
    <row r="120">
      <c r="A120" s="27" t="n"/>
      <c r="B120" s="28" t="n"/>
      <c r="C120" s="28" t="n"/>
      <c r="D120" s="28" t="n"/>
      <c r="E120" s="28" t="n"/>
      <c r="F120" s="29" t="n"/>
      <c r="G120" s="28" t="n"/>
      <c r="H120" s="28" t="n"/>
      <c r="I120" s="27" t="n"/>
      <c r="J120" s="55">
        <f>IF(OR(I120="",G120="Won",G120="Lost"),"",IF(I120&lt;TODAY(),"OVERDUE",""))</f>
        <v/>
      </c>
      <c r="K120" s="28" t="n"/>
    </row>
    <row r="121">
      <c r="A121" s="27" t="n"/>
      <c r="B121" s="28" t="n"/>
      <c r="C121" s="28" t="n"/>
      <c r="D121" s="28" t="n"/>
      <c r="E121" s="28" t="n"/>
      <c r="F121" s="29" t="n"/>
      <c r="G121" s="28" t="n"/>
      <c r="H121" s="28" t="n"/>
      <c r="I121" s="27" t="n"/>
      <c r="J121" s="55">
        <f>IF(OR(I121="",G121="Won",G121="Lost"),"",IF(I121&lt;TODAY(),"OVERDUE",""))</f>
        <v/>
      </c>
      <c r="K121" s="28" t="n"/>
    </row>
    <row r="122">
      <c r="A122" s="27" t="n"/>
      <c r="B122" s="28" t="n"/>
      <c r="C122" s="28" t="n"/>
      <c r="D122" s="28" t="n"/>
      <c r="E122" s="28" t="n"/>
      <c r="F122" s="29" t="n"/>
      <c r="G122" s="28" t="n"/>
      <c r="H122" s="28" t="n"/>
      <c r="I122" s="27" t="n"/>
      <c r="J122" s="55">
        <f>IF(OR(I122="",G122="Won",G122="Lost"),"",IF(I122&lt;TODAY(),"OVERDUE",""))</f>
        <v/>
      </c>
      <c r="K122" s="28" t="n"/>
    </row>
    <row r="123">
      <c r="A123" s="27" t="n"/>
      <c r="B123" s="28" t="n"/>
      <c r="C123" s="28" t="n"/>
      <c r="D123" s="28" t="n"/>
      <c r="E123" s="28" t="n"/>
      <c r="F123" s="29" t="n"/>
      <c r="G123" s="28" t="n"/>
      <c r="H123" s="28" t="n"/>
      <c r="I123" s="27" t="n"/>
      <c r="J123" s="55">
        <f>IF(OR(I123="",G123="Won",G123="Lost"),"",IF(I123&lt;TODAY(),"OVERDUE",""))</f>
        <v/>
      </c>
      <c r="K123" s="28" t="n"/>
    </row>
    <row r="124">
      <c r="A124" s="27" t="n"/>
      <c r="B124" s="28" t="n"/>
      <c r="C124" s="28" t="n"/>
      <c r="D124" s="28" t="n"/>
      <c r="E124" s="28" t="n"/>
      <c r="F124" s="29" t="n"/>
      <c r="G124" s="28" t="n"/>
      <c r="H124" s="28" t="n"/>
      <c r="I124" s="27" t="n"/>
      <c r="J124" s="55">
        <f>IF(OR(I124="",G124="Won",G124="Lost"),"",IF(I124&lt;TODAY(),"OVERDUE",""))</f>
        <v/>
      </c>
      <c r="K124" s="28" t="n"/>
    </row>
    <row r="125">
      <c r="A125" s="27" t="n"/>
      <c r="B125" s="28" t="n"/>
      <c r="C125" s="28" t="n"/>
      <c r="D125" s="28" t="n"/>
      <c r="E125" s="28" t="n"/>
      <c r="F125" s="29" t="n"/>
      <c r="G125" s="28" t="n"/>
      <c r="H125" s="28" t="n"/>
      <c r="I125" s="27" t="n"/>
      <c r="J125" s="55">
        <f>IF(OR(I125="",G125="Won",G125="Lost"),"",IF(I125&lt;TODAY(),"OVERDUE",""))</f>
        <v/>
      </c>
      <c r="K125" s="28" t="n"/>
    </row>
    <row r="126">
      <c r="A126" s="27" t="n"/>
      <c r="B126" s="28" t="n"/>
      <c r="C126" s="28" t="n"/>
      <c r="D126" s="28" t="n"/>
      <c r="E126" s="28" t="n"/>
      <c r="F126" s="29" t="n"/>
      <c r="G126" s="28" t="n"/>
      <c r="H126" s="28" t="n"/>
      <c r="I126" s="27" t="n"/>
      <c r="J126" s="55">
        <f>IF(OR(I126="",G126="Won",G126="Lost"),"",IF(I126&lt;TODAY(),"OVERDUE",""))</f>
        <v/>
      </c>
      <c r="K126" s="28" t="n"/>
    </row>
    <row r="127">
      <c r="A127" s="27" t="n"/>
      <c r="B127" s="28" t="n"/>
      <c r="C127" s="28" t="n"/>
      <c r="D127" s="28" t="n"/>
      <c r="E127" s="28" t="n"/>
      <c r="F127" s="29" t="n"/>
      <c r="G127" s="28" t="n"/>
      <c r="H127" s="28" t="n"/>
      <c r="I127" s="27" t="n"/>
      <c r="J127" s="55">
        <f>IF(OR(I127="",G127="Won",G127="Lost"),"",IF(I127&lt;TODAY(),"OVERDUE",""))</f>
        <v/>
      </c>
      <c r="K127" s="28" t="n"/>
    </row>
    <row r="128">
      <c r="A128" s="27" t="n"/>
      <c r="B128" s="28" t="n"/>
      <c r="C128" s="28" t="n"/>
      <c r="D128" s="28" t="n"/>
      <c r="E128" s="28" t="n"/>
      <c r="F128" s="29" t="n"/>
      <c r="G128" s="28" t="n"/>
      <c r="H128" s="28" t="n"/>
      <c r="I128" s="27" t="n"/>
      <c r="J128" s="55">
        <f>IF(OR(I128="",G128="Won",G128="Lost"),"",IF(I128&lt;TODAY(),"OVERDUE",""))</f>
        <v/>
      </c>
      <c r="K128" s="28" t="n"/>
    </row>
    <row r="129">
      <c r="A129" s="27" t="n"/>
      <c r="B129" s="28" t="n"/>
      <c r="C129" s="28" t="n"/>
      <c r="D129" s="28" t="n"/>
      <c r="E129" s="28" t="n"/>
      <c r="F129" s="29" t="n"/>
      <c r="G129" s="28" t="n"/>
      <c r="H129" s="28" t="n"/>
      <c r="I129" s="27" t="n"/>
      <c r="J129" s="55">
        <f>IF(OR(I129="",G129="Won",G129="Lost"),"",IF(I129&lt;TODAY(),"OVERDUE",""))</f>
        <v/>
      </c>
      <c r="K129" s="28" t="n"/>
    </row>
    <row r="130">
      <c r="A130" s="27" t="n"/>
      <c r="B130" s="28" t="n"/>
      <c r="C130" s="28" t="n"/>
      <c r="D130" s="28" t="n"/>
      <c r="E130" s="28" t="n"/>
      <c r="F130" s="29" t="n"/>
      <c r="G130" s="28" t="n"/>
      <c r="H130" s="28" t="n"/>
      <c r="I130" s="27" t="n"/>
      <c r="J130" s="55">
        <f>IF(OR(I130="",G130="Won",G130="Lost"),"",IF(I130&lt;TODAY(),"OVERDUE",""))</f>
        <v/>
      </c>
      <c r="K130" s="28" t="n"/>
    </row>
    <row r="131">
      <c r="A131" s="27" t="n"/>
      <c r="B131" s="28" t="n"/>
      <c r="C131" s="28" t="n"/>
      <c r="D131" s="28" t="n"/>
      <c r="E131" s="28" t="n"/>
      <c r="F131" s="29" t="n"/>
      <c r="G131" s="28" t="n"/>
      <c r="H131" s="28" t="n"/>
      <c r="I131" s="27" t="n"/>
      <c r="J131" s="55">
        <f>IF(OR(I131="",G131="Won",G131="Lost"),"",IF(I131&lt;TODAY(),"OVERDUE",""))</f>
        <v/>
      </c>
      <c r="K131" s="28" t="n"/>
    </row>
    <row r="132">
      <c r="A132" s="27" t="n"/>
      <c r="B132" s="28" t="n"/>
      <c r="C132" s="28" t="n"/>
      <c r="D132" s="28" t="n"/>
      <c r="E132" s="28" t="n"/>
      <c r="F132" s="29" t="n"/>
      <c r="G132" s="28" t="n"/>
      <c r="H132" s="28" t="n"/>
      <c r="I132" s="27" t="n"/>
      <c r="J132" s="55">
        <f>IF(OR(I132="",G132="Won",G132="Lost"),"",IF(I132&lt;TODAY(),"OVERDUE",""))</f>
        <v/>
      </c>
      <c r="K132" s="28" t="n"/>
    </row>
    <row r="133">
      <c r="A133" s="27" t="n"/>
      <c r="B133" s="28" t="n"/>
      <c r="C133" s="28" t="n"/>
      <c r="D133" s="28" t="n"/>
      <c r="E133" s="28" t="n"/>
      <c r="F133" s="29" t="n"/>
      <c r="G133" s="28" t="n"/>
      <c r="H133" s="28" t="n"/>
      <c r="I133" s="27" t="n"/>
      <c r="J133" s="55">
        <f>IF(OR(I133="",G133="Won",G133="Lost"),"",IF(I133&lt;TODAY(),"OVERDUE",""))</f>
        <v/>
      </c>
      <c r="K133" s="28" t="n"/>
    </row>
    <row r="134">
      <c r="A134" s="27" t="n"/>
      <c r="B134" s="28" t="n"/>
      <c r="C134" s="28" t="n"/>
      <c r="D134" s="28" t="n"/>
      <c r="E134" s="28" t="n"/>
      <c r="F134" s="29" t="n"/>
      <c r="G134" s="28" t="n"/>
      <c r="H134" s="28" t="n"/>
      <c r="I134" s="27" t="n"/>
      <c r="J134" s="55">
        <f>IF(OR(I134="",G134="Won",G134="Lost"),"",IF(I134&lt;TODAY(),"OVERDUE",""))</f>
        <v/>
      </c>
      <c r="K134" s="28" t="n"/>
    </row>
    <row r="135">
      <c r="A135" s="27" t="n"/>
      <c r="B135" s="28" t="n"/>
      <c r="C135" s="28" t="n"/>
      <c r="D135" s="28" t="n"/>
      <c r="E135" s="28" t="n"/>
      <c r="F135" s="29" t="n"/>
      <c r="G135" s="28" t="n"/>
      <c r="H135" s="28" t="n"/>
      <c r="I135" s="27" t="n"/>
      <c r="J135" s="55">
        <f>IF(OR(I135="",G135="Won",G135="Lost"),"",IF(I135&lt;TODAY(),"OVERDUE",""))</f>
        <v/>
      </c>
      <c r="K135" s="28" t="n"/>
    </row>
    <row r="136">
      <c r="A136" s="27" t="n"/>
      <c r="B136" s="28" t="n"/>
      <c r="C136" s="28" t="n"/>
      <c r="D136" s="28" t="n"/>
      <c r="E136" s="28" t="n"/>
      <c r="F136" s="29" t="n"/>
      <c r="G136" s="28" t="n"/>
      <c r="H136" s="28" t="n"/>
      <c r="I136" s="27" t="n"/>
      <c r="J136" s="55">
        <f>IF(OR(I136="",G136="Won",G136="Lost"),"",IF(I136&lt;TODAY(),"OVERDUE",""))</f>
        <v/>
      </c>
      <c r="K136" s="28" t="n"/>
    </row>
    <row r="137">
      <c r="A137" s="27" t="n"/>
      <c r="B137" s="28" t="n"/>
      <c r="C137" s="28" t="n"/>
      <c r="D137" s="28" t="n"/>
      <c r="E137" s="28" t="n"/>
      <c r="F137" s="29" t="n"/>
      <c r="G137" s="28" t="n"/>
      <c r="H137" s="28" t="n"/>
      <c r="I137" s="27" t="n"/>
      <c r="J137" s="55">
        <f>IF(OR(I137="",G137="Won",G137="Lost"),"",IF(I137&lt;TODAY(),"OVERDUE",""))</f>
        <v/>
      </c>
      <c r="K137" s="28" t="n"/>
    </row>
    <row r="138">
      <c r="A138" s="27" t="n"/>
      <c r="B138" s="28" t="n"/>
      <c r="C138" s="28" t="n"/>
      <c r="D138" s="28" t="n"/>
      <c r="E138" s="28" t="n"/>
      <c r="F138" s="29" t="n"/>
      <c r="G138" s="28" t="n"/>
      <c r="H138" s="28" t="n"/>
      <c r="I138" s="27" t="n"/>
      <c r="J138" s="55">
        <f>IF(OR(I138="",G138="Won",G138="Lost"),"",IF(I138&lt;TODAY(),"OVERDUE",""))</f>
        <v/>
      </c>
      <c r="K138" s="28" t="n"/>
    </row>
    <row r="139">
      <c r="A139" s="27" t="n"/>
      <c r="B139" s="28" t="n"/>
      <c r="C139" s="28" t="n"/>
      <c r="D139" s="28" t="n"/>
      <c r="E139" s="28" t="n"/>
      <c r="F139" s="29" t="n"/>
      <c r="G139" s="28" t="n"/>
      <c r="H139" s="28" t="n"/>
      <c r="I139" s="27" t="n"/>
      <c r="J139" s="55">
        <f>IF(OR(I139="",G139="Won",G139="Lost"),"",IF(I139&lt;TODAY(),"OVERDUE",""))</f>
        <v/>
      </c>
      <c r="K139" s="28" t="n"/>
    </row>
    <row r="140">
      <c r="A140" s="27" t="n"/>
      <c r="B140" s="28" t="n"/>
      <c r="C140" s="28" t="n"/>
      <c r="D140" s="28" t="n"/>
      <c r="E140" s="28" t="n"/>
      <c r="F140" s="29" t="n"/>
      <c r="G140" s="28" t="n"/>
      <c r="H140" s="28" t="n"/>
      <c r="I140" s="27" t="n"/>
      <c r="J140" s="55">
        <f>IF(OR(I140="",G140="Won",G140="Lost"),"",IF(I140&lt;TODAY(),"OVERDUE",""))</f>
        <v/>
      </c>
      <c r="K140" s="28" t="n"/>
    </row>
    <row r="141">
      <c r="A141" s="27" t="n"/>
      <c r="B141" s="28" t="n"/>
      <c r="C141" s="28" t="n"/>
      <c r="D141" s="28" t="n"/>
      <c r="E141" s="28" t="n"/>
      <c r="F141" s="29" t="n"/>
      <c r="G141" s="28" t="n"/>
      <c r="H141" s="28" t="n"/>
      <c r="I141" s="27" t="n"/>
      <c r="J141" s="55">
        <f>IF(OR(I141="",G141="Won",G141="Lost"),"",IF(I141&lt;TODAY(),"OVERDUE",""))</f>
        <v/>
      </c>
      <c r="K141" s="28" t="n"/>
    </row>
    <row r="142">
      <c r="A142" s="27" t="n"/>
      <c r="B142" s="28" t="n"/>
      <c r="C142" s="28" t="n"/>
      <c r="D142" s="28" t="n"/>
      <c r="E142" s="28" t="n"/>
      <c r="F142" s="29" t="n"/>
      <c r="G142" s="28" t="n"/>
      <c r="H142" s="28" t="n"/>
      <c r="I142" s="27" t="n"/>
      <c r="J142" s="55">
        <f>IF(OR(I142="",G142="Won",G142="Lost"),"",IF(I142&lt;TODAY(),"OVERDUE",""))</f>
        <v/>
      </c>
      <c r="K142" s="28" t="n"/>
    </row>
    <row r="143">
      <c r="A143" s="27" t="n"/>
      <c r="B143" s="28" t="n"/>
      <c r="C143" s="28" t="n"/>
      <c r="D143" s="28" t="n"/>
      <c r="E143" s="28" t="n"/>
      <c r="F143" s="29" t="n"/>
      <c r="G143" s="28" t="n"/>
      <c r="H143" s="28" t="n"/>
      <c r="I143" s="27" t="n"/>
      <c r="J143" s="55">
        <f>IF(OR(I143="",G143="Won",G143="Lost"),"",IF(I143&lt;TODAY(),"OVERDUE",""))</f>
        <v/>
      </c>
      <c r="K143" s="28" t="n"/>
    </row>
    <row r="144">
      <c r="A144" s="27" t="n"/>
      <c r="B144" s="28" t="n"/>
      <c r="C144" s="28" t="n"/>
      <c r="D144" s="28" t="n"/>
      <c r="E144" s="28" t="n"/>
      <c r="F144" s="29" t="n"/>
      <c r="G144" s="28" t="n"/>
      <c r="H144" s="28" t="n"/>
      <c r="I144" s="27" t="n"/>
      <c r="J144" s="55">
        <f>IF(OR(I144="",G144="Won",G144="Lost"),"",IF(I144&lt;TODAY(),"OVERDUE",""))</f>
        <v/>
      </c>
      <c r="K144" s="28" t="n"/>
    </row>
    <row r="145">
      <c r="A145" s="27" t="n"/>
      <c r="B145" s="28" t="n"/>
      <c r="C145" s="28" t="n"/>
      <c r="D145" s="28" t="n"/>
      <c r="E145" s="28" t="n"/>
      <c r="F145" s="29" t="n"/>
      <c r="G145" s="28" t="n"/>
      <c r="H145" s="28" t="n"/>
      <c r="I145" s="27" t="n"/>
      <c r="J145" s="55">
        <f>IF(OR(I145="",G145="Won",G145="Lost"),"",IF(I145&lt;TODAY(),"OVERDUE",""))</f>
        <v/>
      </c>
      <c r="K145" s="28" t="n"/>
    </row>
    <row r="146">
      <c r="A146" s="27" t="n"/>
      <c r="B146" s="28" t="n"/>
      <c r="C146" s="28" t="n"/>
      <c r="D146" s="28" t="n"/>
      <c r="E146" s="28" t="n"/>
      <c r="F146" s="29" t="n"/>
      <c r="G146" s="28" t="n"/>
      <c r="H146" s="28" t="n"/>
      <c r="I146" s="27" t="n"/>
      <c r="J146" s="55">
        <f>IF(OR(I146="",G146="Won",G146="Lost"),"",IF(I146&lt;TODAY(),"OVERDUE",""))</f>
        <v/>
      </c>
      <c r="K146" s="28" t="n"/>
    </row>
    <row r="147">
      <c r="A147" s="27" t="n"/>
      <c r="B147" s="28" t="n"/>
      <c r="C147" s="28" t="n"/>
      <c r="D147" s="28" t="n"/>
      <c r="E147" s="28" t="n"/>
      <c r="F147" s="29" t="n"/>
      <c r="G147" s="28" t="n"/>
      <c r="H147" s="28" t="n"/>
      <c r="I147" s="27" t="n"/>
      <c r="J147" s="55">
        <f>IF(OR(I147="",G147="Won",G147="Lost"),"",IF(I147&lt;TODAY(),"OVERDUE",""))</f>
        <v/>
      </c>
      <c r="K147" s="28" t="n"/>
    </row>
    <row r="148">
      <c r="A148" s="27" t="n"/>
      <c r="B148" s="28" t="n"/>
      <c r="C148" s="28" t="n"/>
      <c r="D148" s="28" t="n"/>
      <c r="E148" s="28" t="n"/>
      <c r="F148" s="29" t="n"/>
      <c r="G148" s="28" t="n"/>
      <c r="H148" s="28" t="n"/>
      <c r="I148" s="27" t="n"/>
      <c r="J148" s="55">
        <f>IF(OR(I148="",G148="Won",G148="Lost"),"",IF(I148&lt;TODAY(),"OVERDUE",""))</f>
        <v/>
      </c>
      <c r="K148" s="28" t="n"/>
    </row>
    <row r="149">
      <c r="A149" s="27" t="n"/>
      <c r="B149" s="28" t="n"/>
      <c r="C149" s="28" t="n"/>
      <c r="D149" s="28" t="n"/>
      <c r="E149" s="28" t="n"/>
      <c r="F149" s="29" t="n"/>
      <c r="G149" s="28" t="n"/>
      <c r="H149" s="28" t="n"/>
      <c r="I149" s="27" t="n"/>
      <c r="J149" s="55">
        <f>IF(OR(I149="",G149="Won",G149="Lost"),"",IF(I149&lt;TODAY(),"OVERDUE",""))</f>
        <v/>
      </c>
      <c r="K149" s="28" t="n"/>
    </row>
    <row r="150">
      <c r="A150" s="27" t="n"/>
      <c r="B150" s="28" t="n"/>
      <c r="C150" s="28" t="n"/>
      <c r="D150" s="28" t="n"/>
      <c r="E150" s="28" t="n"/>
      <c r="F150" s="29" t="n"/>
      <c r="G150" s="28" t="n"/>
      <c r="H150" s="28" t="n"/>
      <c r="I150" s="27" t="n"/>
      <c r="J150" s="55">
        <f>IF(OR(I150="",G150="Won",G150="Lost"),"",IF(I150&lt;TODAY(),"OVERDUE",""))</f>
        <v/>
      </c>
      <c r="K150" s="28" t="n"/>
    </row>
    <row r="151">
      <c r="A151" s="27" t="n"/>
      <c r="B151" s="28" t="n"/>
      <c r="C151" s="28" t="n"/>
      <c r="D151" s="28" t="n"/>
      <c r="E151" s="28" t="n"/>
      <c r="F151" s="29" t="n"/>
      <c r="G151" s="28" t="n"/>
      <c r="H151" s="28" t="n"/>
      <c r="I151" s="27" t="n"/>
      <c r="J151" s="55">
        <f>IF(OR(I151="",G151="Won",G151="Lost"),"",IF(I151&lt;TODAY(),"OVERDUE",""))</f>
        <v/>
      </c>
      <c r="K151" s="28" t="n"/>
    </row>
    <row r="152">
      <c r="A152" s="27" t="n"/>
      <c r="B152" s="28" t="n"/>
      <c r="C152" s="28" t="n"/>
      <c r="D152" s="28" t="n"/>
      <c r="E152" s="28" t="n"/>
      <c r="F152" s="29" t="n"/>
      <c r="G152" s="28" t="n"/>
      <c r="H152" s="28" t="n"/>
      <c r="I152" s="27" t="n"/>
      <c r="J152" s="55">
        <f>IF(OR(I152="",G152="Won",G152="Lost"),"",IF(I152&lt;TODAY(),"OVERDUE",""))</f>
        <v/>
      </c>
      <c r="K152" s="28" t="n"/>
    </row>
    <row r="153">
      <c r="A153" s="27" t="n"/>
      <c r="B153" s="28" t="n"/>
      <c r="C153" s="28" t="n"/>
      <c r="D153" s="28" t="n"/>
      <c r="E153" s="28" t="n"/>
      <c r="F153" s="29" t="n"/>
      <c r="G153" s="28" t="n"/>
      <c r="H153" s="28" t="n"/>
      <c r="I153" s="27" t="n"/>
      <c r="J153" s="55">
        <f>IF(OR(I153="",G153="Won",G153="Lost"),"",IF(I153&lt;TODAY(),"OVERDUE",""))</f>
        <v/>
      </c>
      <c r="K153" s="28" t="n"/>
    </row>
    <row r="154">
      <c r="A154" s="27" t="n"/>
      <c r="B154" s="28" t="n"/>
      <c r="C154" s="28" t="n"/>
      <c r="D154" s="28" t="n"/>
      <c r="E154" s="28" t="n"/>
      <c r="F154" s="29" t="n"/>
      <c r="G154" s="28" t="n"/>
      <c r="H154" s="28" t="n"/>
      <c r="I154" s="27" t="n"/>
      <c r="J154" s="55">
        <f>IF(OR(I154="",G154="Won",G154="Lost"),"",IF(I154&lt;TODAY(),"OVERDUE",""))</f>
        <v/>
      </c>
      <c r="K154" s="28" t="n"/>
    </row>
    <row r="155">
      <c r="A155" s="27" t="n"/>
      <c r="B155" s="28" t="n"/>
      <c r="C155" s="28" t="n"/>
      <c r="D155" s="28" t="n"/>
      <c r="E155" s="28" t="n"/>
      <c r="F155" s="29" t="n"/>
      <c r="G155" s="28" t="n"/>
      <c r="H155" s="28" t="n"/>
      <c r="I155" s="27" t="n"/>
      <c r="J155" s="55">
        <f>IF(OR(I155="",G155="Won",G155="Lost"),"",IF(I155&lt;TODAY(),"OVERDUE",""))</f>
        <v/>
      </c>
      <c r="K155" s="28" t="n"/>
    </row>
    <row r="156">
      <c r="A156" s="27" t="n"/>
      <c r="B156" s="28" t="n"/>
      <c r="C156" s="28" t="n"/>
      <c r="D156" s="28" t="n"/>
      <c r="E156" s="28" t="n"/>
      <c r="F156" s="29" t="n"/>
      <c r="G156" s="28" t="n"/>
      <c r="H156" s="28" t="n"/>
      <c r="I156" s="27" t="n"/>
      <c r="J156" s="55">
        <f>IF(OR(I156="",G156="Won",G156="Lost"),"",IF(I156&lt;TODAY(),"OVERDUE",""))</f>
        <v/>
      </c>
      <c r="K156" s="28" t="n"/>
    </row>
    <row r="157">
      <c r="A157" s="27" t="n"/>
      <c r="B157" s="28" t="n"/>
      <c r="C157" s="28" t="n"/>
      <c r="D157" s="28" t="n"/>
      <c r="E157" s="28" t="n"/>
      <c r="F157" s="29" t="n"/>
      <c r="G157" s="28" t="n"/>
      <c r="H157" s="28" t="n"/>
      <c r="I157" s="27" t="n"/>
      <c r="J157" s="55">
        <f>IF(OR(I157="",G157="Won",G157="Lost"),"",IF(I157&lt;TODAY(),"OVERDUE",""))</f>
        <v/>
      </c>
      <c r="K157" s="28" t="n"/>
    </row>
    <row r="158">
      <c r="A158" s="27" t="n"/>
      <c r="B158" s="28" t="n"/>
      <c r="C158" s="28" t="n"/>
      <c r="D158" s="28" t="n"/>
      <c r="E158" s="28" t="n"/>
      <c r="F158" s="29" t="n"/>
      <c r="G158" s="28" t="n"/>
      <c r="H158" s="28" t="n"/>
      <c r="I158" s="27" t="n"/>
      <c r="J158" s="55">
        <f>IF(OR(I158="",G158="Won",G158="Lost"),"",IF(I158&lt;TODAY(),"OVERDUE",""))</f>
        <v/>
      </c>
      <c r="K158" s="28" t="n"/>
    </row>
    <row r="159">
      <c r="A159" s="27" t="n"/>
      <c r="B159" s="28" t="n"/>
      <c r="C159" s="28" t="n"/>
      <c r="D159" s="28" t="n"/>
      <c r="E159" s="28" t="n"/>
      <c r="F159" s="29" t="n"/>
      <c r="G159" s="28" t="n"/>
      <c r="H159" s="28" t="n"/>
      <c r="I159" s="27" t="n"/>
      <c r="J159" s="55">
        <f>IF(OR(I159="",G159="Won",G159="Lost"),"",IF(I159&lt;TODAY(),"OVERDUE",""))</f>
        <v/>
      </c>
      <c r="K159" s="28" t="n"/>
    </row>
    <row r="160">
      <c r="A160" s="27" t="n"/>
      <c r="B160" s="28" t="n"/>
      <c r="C160" s="28" t="n"/>
      <c r="D160" s="28" t="n"/>
      <c r="E160" s="28" t="n"/>
      <c r="F160" s="29" t="n"/>
      <c r="G160" s="28" t="n"/>
      <c r="H160" s="28" t="n"/>
      <c r="I160" s="27" t="n"/>
      <c r="J160" s="55">
        <f>IF(OR(I160="",G160="Won",G160="Lost"),"",IF(I160&lt;TODAY(),"OVERDUE",""))</f>
        <v/>
      </c>
      <c r="K160" s="28" t="n"/>
    </row>
    <row r="161">
      <c r="A161" s="27" t="n"/>
      <c r="B161" s="28" t="n"/>
      <c r="C161" s="28" t="n"/>
      <c r="D161" s="28" t="n"/>
      <c r="E161" s="28" t="n"/>
      <c r="F161" s="29" t="n"/>
      <c r="G161" s="28" t="n"/>
      <c r="H161" s="28" t="n"/>
      <c r="I161" s="27" t="n"/>
      <c r="J161" s="55">
        <f>IF(OR(I161="",G161="Won",G161="Lost"),"",IF(I161&lt;TODAY(),"OVERDUE",""))</f>
        <v/>
      </c>
      <c r="K161" s="28" t="n"/>
    </row>
    <row r="162">
      <c r="A162" s="27" t="n"/>
      <c r="B162" s="28" t="n"/>
      <c r="C162" s="28" t="n"/>
      <c r="D162" s="28" t="n"/>
      <c r="E162" s="28" t="n"/>
      <c r="F162" s="29" t="n"/>
      <c r="G162" s="28" t="n"/>
      <c r="H162" s="28" t="n"/>
      <c r="I162" s="27" t="n"/>
      <c r="J162" s="55">
        <f>IF(OR(I162="",G162="Won",G162="Lost"),"",IF(I162&lt;TODAY(),"OVERDUE",""))</f>
        <v/>
      </c>
      <c r="K162" s="28" t="n"/>
    </row>
    <row r="163">
      <c r="A163" s="27" t="n"/>
      <c r="B163" s="28" t="n"/>
      <c r="C163" s="28" t="n"/>
      <c r="D163" s="28" t="n"/>
      <c r="E163" s="28" t="n"/>
      <c r="F163" s="29" t="n"/>
      <c r="G163" s="28" t="n"/>
      <c r="H163" s="28" t="n"/>
      <c r="I163" s="27" t="n"/>
      <c r="J163" s="55">
        <f>IF(OR(I163="",G163="Won",G163="Lost"),"",IF(I163&lt;TODAY(),"OVERDUE",""))</f>
        <v/>
      </c>
      <c r="K163" s="28" t="n"/>
    </row>
    <row r="164">
      <c r="A164" s="27" t="n"/>
      <c r="B164" s="28" t="n"/>
      <c r="C164" s="28" t="n"/>
      <c r="D164" s="28" t="n"/>
      <c r="E164" s="28" t="n"/>
      <c r="F164" s="29" t="n"/>
      <c r="G164" s="28" t="n"/>
      <c r="H164" s="28" t="n"/>
      <c r="I164" s="27" t="n"/>
      <c r="J164" s="55">
        <f>IF(OR(I164="",G164="Won",G164="Lost"),"",IF(I164&lt;TODAY(),"OVERDUE",""))</f>
        <v/>
      </c>
      <c r="K164" s="28" t="n"/>
    </row>
    <row r="165">
      <c r="A165" s="27" t="n"/>
      <c r="B165" s="28" t="n"/>
      <c r="C165" s="28" t="n"/>
      <c r="D165" s="28" t="n"/>
      <c r="E165" s="28" t="n"/>
      <c r="F165" s="29" t="n"/>
      <c r="G165" s="28" t="n"/>
      <c r="H165" s="28" t="n"/>
      <c r="I165" s="27" t="n"/>
      <c r="J165" s="55">
        <f>IF(OR(I165="",G165="Won",G165="Lost"),"",IF(I165&lt;TODAY(),"OVERDUE",""))</f>
        <v/>
      </c>
      <c r="K165" s="28" t="n"/>
    </row>
    <row r="166">
      <c r="A166" s="27" t="n"/>
      <c r="B166" s="28" t="n"/>
      <c r="C166" s="28" t="n"/>
      <c r="D166" s="28" t="n"/>
      <c r="E166" s="28" t="n"/>
      <c r="F166" s="29" t="n"/>
      <c r="G166" s="28" t="n"/>
      <c r="H166" s="28" t="n"/>
      <c r="I166" s="27" t="n"/>
      <c r="J166" s="55">
        <f>IF(OR(I166="",G166="Won",G166="Lost"),"",IF(I166&lt;TODAY(),"OVERDUE",""))</f>
        <v/>
      </c>
      <c r="K166" s="28" t="n"/>
    </row>
    <row r="167">
      <c r="A167" s="27" t="n"/>
      <c r="B167" s="28" t="n"/>
      <c r="C167" s="28" t="n"/>
      <c r="D167" s="28" t="n"/>
      <c r="E167" s="28" t="n"/>
      <c r="F167" s="29" t="n"/>
      <c r="G167" s="28" t="n"/>
      <c r="H167" s="28" t="n"/>
      <c r="I167" s="27" t="n"/>
      <c r="J167" s="55">
        <f>IF(OR(I167="",G167="Won",G167="Lost"),"",IF(I167&lt;TODAY(),"OVERDUE",""))</f>
        <v/>
      </c>
      <c r="K167" s="28" t="n"/>
    </row>
    <row r="168">
      <c r="A168" s="27" t="n"/>
      <c r="B168" s="28" t="n"/>
      <c r="C168" s="28" t="n"/>
      <c r="D168" s="28" t="n"/>
      <c r="E168" s="28" t="n"/>
      <c r="F168" s="29" t="n"/>
      <c r="G168" s="28" t="n"/>
      <c r="H168" s="28" t="n"/>
      <c r="I168" s="27" t="n"/>
      <c r="J168" s="55">
        <f>IF(OR(I168="",G168="Won",G168="Lost"),"",IF(I168&lt;TODAY(),"OVERDUE",""))</f>
        <v/>
      </c>
      <c r="K168" s="28" t="n"/>
    </row>
    <row r="169">
      <c r="A169" s="27" t="n"/>
      <c r="B169" s="28" t="n"/>
      <c r="C169" s="28" t="n"/>
      <c r="D169" s="28" t="n"/>
      <c r="E169" s="28" t="n"/>
      <c r="F169" s="29" t="n"/>
      <c r="G169" s="28" t="n"/>
      <c r="H169" s="28" t="n"/>
      <c r="I169" s="27" t="n"/>
      <c r="J169" s="55">
        <f>IF(OR(I169="",G169="Won",G169="Lost"),"",IF(I169&lt;TODAY(),"OVERDUE",""))</f>
        <v/>
      </c>
      <c r="K169" s="28" t="n"/>
    </row>
    <row r="170">
      <c r="A170" s="27" t="n"/>
      <c r="B170" s="28" t="n"/>
      <c r="C170" s="28" t="n"/>
      <c r="D170" s="28" t="n"/>
      <c r="E170" s="28" t="n"/>
      <c r="F170" s="29" t="n"/>
      <c r="G170" s="28" t="n"/>
      <c r="H170" s="28" t="n"/>
      <c r="I170" s="27" t="n"/>
      <c r="J170" s="55">
        <f>IF(OR(I170="",G170="Won",G170="Lost"),"",IF(I170&lt;TODAY(),"OVERDUE",""))</f>
        <v/>
      </c>
      <c r="K170" s="28" t="n"/>
    </row>
    <row r="171">
      <c r="A171" s="27" t="n"/>
      <c r="B171" s="28" t="n"/>
      <c r="C171" s="28" t="n"/>
      <c r="D171" s="28" t="n"/>
      <c r="E171" s="28" t="n"/>
      <c r="F171" s="29" t="n"/>
      <c r="G171" s="28" t="n"/>
      <c r="H171" s="28" t="n"/>
      <c r="I171" s="27" t="n"/>
      <c r="J171" s="55">
        <f>IF(OR(I171="",G171="Won",G171="Lost"),"",IF(I171&lt;TODAY(),"OVERDUE",""))</f>
        <v/>
      </c>
      <c r="K171" s="28" t="n"/>
    </row>
    <row r="172">
      <c r="A172" s="27" t="n"/>
      <c r="B172" s="28" t="n"/>
      <c r="C172" s="28" t="n"/>
      <c r="D172" s="28" t="n"/>
      <c r="E172" s="28" t="n"/>
      <c r="F172" s="29" t="n"/>
      <c r="G172" s="28" t="n"/>
      <c r="H172" s="28" t="n"/>
      <c r="I172" s="27" t="n"/>
      <c r="J172" s="55">
        <f>IF(OR(I172="",G172="Won",G172="Lost"),"",IF(I172&lt;TODAY(),"OVERDUE",""))</f>
        <v/>
      </c>
      <c r="K172" s="28" t="n"/>
    </row>
    <row r="173">
      <c r="A173" s="27" t="n"/>
      <c r="B173" s="28" t="n"/>
      <c r="C173" s="28" t="n"/>
      <c r="D173" s="28" t="n"/>
      <c r="E173" s="28" t="n"/>
      <c r="F173" s="29" t="n"/>
      <c r="G173" s="28" t="n"/>
      <c r="H173" s="28" t="n"/>
      <c r="I173" s="27" t="n"/>
      <c r="J173" s="55">
        <f>IF(OR(I173="",G173="Won",G173="Lost"),"",IF(I173&lt;TODAY(),"OVERDUE",""))</f>
        <v/>
      </c>
      <c r="K173" s="28" t="n"/>
    </row>
    <row r="174">
      <c r="A174" s="27" t="n"/>
      <c r="B174" s="28" t="n"/>
      <c r="C174" s="28" t="n"/>
      <c r="D174" s="28" t="n"/>
      <c r="E174" s="28" t="n"/>
      <c r="F174" s="29" t="n"/>
      <c r="G174" s="28" t="n"/>
      <c r="H174" s="28" t="n"/>
      <c r="I174" s="27" t="n"/>
      <c r="J174" s="55">
        <f>IF(OR(I174="",G174="Won",G174="Lost"),"",IF(I174&lt;TODAY(),"OVERDUE",""))</f>
        <v/>
      </c>
      <c r="K174" s="28" t="n"/>
    </row>
    <row r="175">
      <c r="A175" s="27" t="n"/>
      <c r="B175" s="28" t="n"/>
      <c r="C175" s="28" t="n"/>
      <c r="D175" s="28" t="n"/>
      <c r="E175" s="28" t="n"/>
      <c r="F175" s="29" t="n"/>
      <c r="G175" s="28" t="n"/>
      <c r="H175" s="28" t="n"/>
      <c r="I175" s="27" t="n"/>
      <c r="J175" s="55">
        <f>IF(OR(I175="",G175="Won",G175="Lost"),"",IF(I175&lt;TODAY(),"OVERDUE",""))</f>
        <v/>
      </c>
      <c r="K175" s="28" t="n"/>
    </row>
    <row r="176">
      <c r="A176" s="27" t="n"/>
      <c r="B176" s="28" t="n"/>
      <c r="C176" s="28" t="n"/>
      <c r="D176" s="28" t="n"/>
      <c r="E176" s="28" t="n"/>
      <c r="F176" s="29" t="n"/>
      <c r="G176" s="28" t="n"/>
      <c r="H176" s="28" t="n"/>
      <c r="I176" s="27" t="n"/>
      <c r="J176" s="55">
        <f>IF(OR(I176="",G176="Won",G176="Lost"),"",IF(I176&lt;TODAY(),"OVERDUE",""))</f>
        <v/>
      </c>
      <c r="K176" s="28" t="n"/>
    </row>
    <row r="177">
      <c r="A177" s="27" t="n"/>
      <c r="B177" s="28" t="n"/>
      <c r="C177" s="28" t="n"/>
      <c r="D177" s="28" t="n"/>
      <c r="E177" s="28" t="n"/>
      <c r="F177" s="29" t="n"/>
      <c r="G177" s="28" t="n"/>
      <c r="H177" s="28" t="n"/>
      <c r="I177" s="27" t="n"/>
      <c r="J177" s="55">
        <f>IF(OR(I177="",G177="Won",G177="Lost"),"",IF(I177&lt;TODAY(),"OVERDUE",""))</f>
        <v/>
      </c>
      <c r="K177" s="28" t="n"/>
    </row>
    <row r="178">
      <c r="A178" s="27" t="n"/>
      <c r="B178" s="28" t="n"/>
      <c r="C178" s="28" t="n"/>
      <c r="D178" s="28" t="n"/>
      <c r="E178" s="28" t="n"/>
      <c r="F178" s="29" t="n"/>
      <c r="G178" s="28" t="n"/>
      <c r="H178" s="28" t="n"/>
      <c r="I178" s="27" t="n"/>
      <c r="J178" s="55">
        <f>IF(OR(I178="",G178="Won",G178="Lost"),"",IF(I178&lt;TODAY(),"OVERDUE",""))</f>
        <v/>
      </c>
      <c r="K178" s="28" t="n"/>
    </row>
    <row r="179">
      <c r="A179" s="27" t="n"/>
      <c r="B179" s="28" t="n"/>
      <c r="C179" s="28" t="n"/>
      <c r="D179" s="28" t="n"/>
      <c r="E179" s="28" t="n"/>
      <c r="F179" s="29" t="n"/>
      <c r="G179" s="28" t="n"/>
      <c r="H179" s="28" t="n"/>
      <c r="I179" s="27" t="n"/>
      <c r="J179" s="55">
        <f>IF(OR(I179="",G179="Won",G179="Lost"),"",IF(I179&lt;TODAY(),"OVERDUE",""))</f>
        <v/>
      </c>
      <c r="K179" s="28" t="n"/>
    </row>
    <row r="180">
      <c r="A180" s="27" t="n"/>
      <c r="B180" s="28" t="n"/>
      <c r="C180" s="28" t="n"/>
      <c r="D180" s="28" t="n"/>
      <c r="E180" s="28" t="n"/>
      <c r="F180" s="29" t="n"/>
      <c r="G180" s="28" t="n"/>
      <c r="H180" s="28" t="n"/>
      <c r="I180" s="27" t="n"/>
      <c r="J180" s="55">
        <f>IF(OR(I180="",G180="Won",G180="Lost"),"",IF(I180&lt;TODAY(),"OVERDUE",""))</f>
        <v/>
      </c>
      <c r="K180" s="28" t="n"/>
    </row>
    <row r="181">
      <c r="A181" s="27" t="n"/>
      <c r="B181" s="28" t="n"/>
      <c r="C181" s="28" t="n"/>
      <c r="D181" s="28" t="n"/>
      <c r="E181" s="28" t="n"/>
      <c r="F181" s="29" t="n"/>
      <c r="G181" s="28" t="n"/>
      <c r="H181" s="28" t="n"/>
      <c r="I181" s="27" t="n"/>
      <c r="J181" s="55">
        <f>IF(OR(I181="",G181="Won",G181="Lost"),"",IF(I181&lt;TODAY(),"OVERDUE",""))</f>
        <v/>
      </c>
      <c r="K181" s="28" t="n"/>
    </row>
    <row r="182">
      <c r="A182" s="27" t="n"/>
      <c r="B182" s="28" t="n"/>
      <c r="C182" s="28" t="n"/>
      <c r="D182" s="28" t="n"/>
      <c r="E182" s="28" t="n"/>
      <c r="F182" s="29" t="n"/>
      <c r="G182" s="28" t="n"/>
      <c r="H182" s="28" t="n"/>
      <c r="I182" s="27" t="n"/>
      <c r="J182" s="55">
        <f>IF(OR(I182="",G182="Won",G182="Lost"),"",IF(I182&lt;TODAY(),"OVERDUE",""))</f>
        <v/>
      </c>
      <c r="K182" s="28" t="n"/>
    </row>
    <row r="183">
      <c r="A183" s="27" t="n"/>
      <c r="B183" s="28" t="n"/>
      <c r="C183" s="28" t="n"/>
      <c r="D183" s="28" t="n"/>
      <c r="E183" s="28" t="n"/>
      <c r="F183" s="29" t="n"/>
      <c r="G183" s="28" t="n"/>
      <c r="H183" s="28" t="n"/>
      <c r="I183" s="27" t="n"/>
      <c r="J183" s="55">
        <f>IF(OR(I183="",G183="Won",G183="Lost"),"",IF(I183&lt;TODAY(),"OVERDUE",""))</f>
        <v/>
      </c>
      <c r="K183" s="28" t="n"/>
    </row>
    <row r="184">
      <c r="A184" s="27" t="n"/>
      <c r="B184" s="28" t="n"/>
      <c r="C184" s="28" t="n"/>
      <c r="D184" s="28" t="n"/>
      <c r="E184" s="28" t="n"/>
      <c r="F184" s="29" t="n"/>
      <c r="G184" s="28" t="n"/>
      <c r="H184" s="28" t="n"/>
      <c r="I184" s="27" t="n"/>
      <c r="J184" s="55">
        <f>IF(OR(I184="",G184="Won",G184="Lost"),"",IF(I184&lt;TODAY(),"OVERDUE",""))</f>
        <v/>
      </c>
      <c r="K184" s="28" t="n"/>
    </row>
    <row r="185">
      <c r="A185" s="27" t="n"/>
      <c r="B185" s="28" t="n"/>
      <c r="C185" s="28" t="n"/>
      <c r="D185" s="28" t="n"/>
      <c r="E185" s="28" t="n"/>
      <c r="F185" s="29" t="n"/>
      <c r="G185" s="28" t="n"/>
      <c r="H185" s="28" t="n"/>
      <c r="I185" s="27" t="n"/>
      <c r="J185" s="55">
        <f>IF(OR(I185="",G185="Won",G185="Lost"),"",IF(I185&lt;TODAY(),"OVERDUE",""))</f>
        <v/>
      </c>
      <c r="K185" s="28" t="n"/>
    </row>
    <row r="186">
      <c r="A186" s="27" t="n"/>
      <c r="B186" s="28" t="n"/>
      <c r="C186" s="28" t="n"/>
      <c r="D186" s="28" t="n"/>
      <c r="E186" s="28" t="n"/>
      <c r="F186" s="29" t="n"/>
      <c r="G186" s="28" t="n"/>
      <c r="H186" s="28" t="n"/>
      <c r="I186" s="27" t="n"/>
      <c r="J186" s="55">
        <f>IF(OR(I186="",G186="Won",G186="Lost"),"",IF(I186&lt;TODAY(),"OVERDUE",""))</f>
        <v/>
      </c>
      <c r="K186" s="28" t="n"/>
    </row>
    <row r="187">
      <c r="A187" s="27" t="n"/>
      <c r="B187" s="28" t="n"/>
      <c r="C187" s="28" t="n"/>
      <c r="D187" s="28" t="n"/>
      <c r="E187" s="28" t="n"/>
      <c r="F187" s="29" t="n"/>
      <c r="G187" s="28" t="n"/>
      <c r="H187" s="28" t="n"/>
      <c r="I187" s="27" t="n"/>
      <c r="J187" s="55">
        <f>IF(OR(I187="",G187="Won",G187="Lost"),"",IF(I187&lt;TODAY(),"OVERDUE",""))</f>
        <v/>
      </c>
      <c r="K187" s="28" t="n"/>
    </row>
    <row r="188">
      <c r="A188" s="27" t="n"/>
      <c r="B188" s="28" t="n"/>
      <c r="C188" s="28" t="n"/>
      <c r="D188" s="28" t="n"/>
      <c r="E188" s="28" t="n"/>
      <c r="F188" s="29" t="n"/>
      <c r="G188" s="28" t="n"/>
      <c r="H188" s="28" t="n"/>
      <c r="I188" s="27" t="n"/>
      <c r="J188" s="55">
        <f>IF(OR(I188="",G188="Won",G188="Lost"),"",IF(I188&lt;TODAY(),"OVERDUE",""))</f>
        <v/>
      </c>
      <c r="K188" s="28" t="n"/>
    </row>
    <row r="189">
      <c r="A189" s="27" t="n"/>
      <c r="B189" s="28" t="n"/>
      <c r="C189" s="28" t="n"/>
      <c r="D189" s="28" t="n"/>
      <c r="E189" s="28" t="n"/>
      <c r="F189" s="29" t="n"/>
      <c r="G189" s="28" t="n"/>
      <c r="H189" s="28" t="n"/>
      <c r="I189" s="27" t="n"/>
      <c r="J189" s="55">
        <f>IF(OR(I189="",G189="Won",G189="Lost"),"",IF(I189&lt;TODAY(),"OVERDUE",""))</f>
        <v/>
      </c>
      <c r="K189" s="28" t="n"/>
    </row>
    <row r="190">
      <c r="A190" s="27" t="n"/>
      <c r="B190" s="28" t="n"/>
      <c r="C190" s="28" t="n"/>
      <c r="D190" s="28" t="n"/>
      <c r="E190" s="28" t="n"/>
      <c r="F190" s="29" t="n"/>
      <c r="G190" s="28" t="n"/>
      <c r="H190" s="28" t="n"/>
      <c r="I190" s="27" t="n"/>
      <c r="J190" s="55">
        <f>IF(OR(I190="",G190="Won",G190="Lost"),"",IF(I190&lt;TODAY(),"OVERDUE",""))</f>
        <v/>
      </c>
      <c r="K190" s="28" t="n"/>
    </row>
    <row r="191">
      <c r="A191" s="27" t="n"/>
      <c r="B191" s="28" t="n"/>
      <c r="C191" s="28" t="n"/>
      <c r="D191" s="28" t="n"/>
      <c r="E191" s="28" t="n"/>
      <c r="F191" s="29" t="n"/>
      <c r="G191" s="28" t="n"/>
      <c r="H191" s="28" t="n"/>
      <c r="I191" s="27" t="n"/>
      <c r="J191" s="55">
        <f>IF(OR(I191="",G191="Won",G191="Lost"),"",IF(I191&lt;TODAY(),"OVERDUE",""))</f>
        <v/>
      </c>
      <c r="K191" s="28" t="n"/>
    </row>
    <row r="192">
      <c r="A192" s="27" t="n"/>
      <c r="B192" s="28" t="n"/>
      <c r="C192" s="28" t="n"/>
      <c r="D192" s="28" t="n"/>
      <c r="E192" s="28" t="n"/>
      <c r="F192" s="29" t="n"/>
      <c r="G192" s="28" t="n"/>
      <c r="H192" s="28" t="n"/>
      <c r="I192" s="27" t="n"/>
      <c r="J192" s="55">
        <f>IF(OR(I192="",G192="Won",G192="Lost"),"",IF(I192&lt;TODAY(),"OVERDUE",""))</f>
        <v/>
      </c>
      <c r="K192" s="28" t="n"/>
    </row>
    <row r="193">
      <c r="A193" s="27" t="n"/>
      <c r="B193" s="28" t="n"/>
      <c r="C193" s="28" t="n"/>
      <c r="D193" s="28" t="n"/>
      <c r="E193" s="28" t="n"/>
      <c r="F193" s="29" t="n"/>
      <c r="G193" s="28" t="n"/>
      <c r="H193" s="28" t="n"/>
      <c r="I193" s="27" t="n"/>
      <c r="J193" s="55">
        <f>IF(OR(I193="",G193="Won",G193="Lost"),"",IF(I193&lt;TODAY(),"OVERDUE",""))</f>
        <v/>
      </c>
      <c r="K193" s="28" t="n"/>
    </row>
    <row r="194">
      <c r="A194" s="27" t="n"/>
      <c r="B194" s="28" t="n"/>
      <c r="C194" s="28" t="n"/>
      <c r="D194" s="28" t="n"/>
      <c r="E194" s="28" t="n"/>
      <c r="F194" s="29" t="n"/>
      <c r="G194" s="28" t="n"/>
      <c r="H194" s="28" t="n"/>
      <c r="I194" s="27" t="n"/>
      <c r="J194" s="55">
        <f>IF(OR(I194="",G194="Won",G194="Lost"),"",IF(I194&lt;TODAY(),"OVERDUE",""))</f>
        <v/>
      </c>
      <c r="K194" s="28" t="n"/>
    </row>
    <row r="195">
      <c r="A195" s="27" t="n"/>
      <c r="B195" s="28" t="n"/>
      <c r="C195" s="28" t="n"/>
      <c r="D195" s="28" t="n"/>
      <c r="E195" s="28" t="n"/>
      <c r="F195" s="29" t="n"/>
      <c r="G195" s="28" t="n"/>
      <c r="H195" s="28" t="n"/>
      <c r="I195" s="27" t="n"/>
      <c r="J195" s="55">
        <f>IF(OR(I195="",G195="Won",G195="Lost"),"",IF(I195&lt;TODAY(),"OVERDUE",""))</f>
        <v/>
      </c>
      <c r="K195" s="28" t="n"/>
    </row>
    <row r="196">
      <c r="A196" s="27" t="n"/>
      <c r="B196" s="28" t="n"/>
      <c r="C196" s="28" t="n"/>
      <c r="D196" s="28" t="n"/>
      <c r="E196" s="28" t="n"/>
      <c r="F196" s="29" t="n"/>
      <c r="G196" s="28" t="n"/>
      <c r="H196" s="28" t="n"/>
      <c r="I196" s="27" t="n"/>
      <c r="J196" s="55">
        <f>IF(OR(I196="",G196="Won",G196="Lost"),"",IF(I196&lt;TODAY(),"OVERDUE",""))</f>
        <v/>
      </c>
      <c r="K196" s="28" t="n"/>
    </row>
    <row r="197">
      <c r="A197" s="27" t="n"/>
      <c r="B197" s="28" t="n"/>
      <c r="C197" s="28" t="n"/>
      <c r="D197" s="28" t="n"/>
      <c r="E197" s="28" t="n"/>
      <c r="F197" s="29" t="n"/>
      <c r="G197" s="28" t="n"/>
      <c r="H197" s="28" t="n"/>
      <c r="I197" s="27" t="n"/>
      <c r="J197" s="55">
        <f>IF(OR(I197="",G197="Won",G197="Lost"),"",IF(I197&lt;TODAY(),"OVERDUE",""))</f>
        <v/>
      </c>
      <c r="K197" s="28" t="n"/>
    </row>
    <row r="198">
      <c r="A198" s="27" t="n"/>
      <c r="B198" s="28" t="n"/>
      <c r="C198" s="28" t="n"/>
      <c r="D198" s="28" t="n"/>
      <c r="E198" s="28" t="n"/>
      <c r="F198" s="29" t="n"/>
      <c r="G198" s="28" t="n"/>
      <c r="H198" s="28" t="n"/>
      <c r="I198" s="27" t="n"/>
      <c r="J198" s="55">
        <f>IF(OR(I198="",G198="Won",G198="Lost"),"",IF(I198&lt;TODAY(),"OVERDUE",""))</f>
        <v/>
      </c>
      <c r="K198" s="28" t="n"/>
    </row>
    <row r="199">
      <c r="A199" s="27" t="n"/>
      <c r="B199" s="28" t="n"/>
      <c r="C199" s="28" t="n"/>
      <c r="D199" s="28" t="n"/>
      <c r="E199" s="28" t="n"/>
      <c r="F199" s="29" t="n"/>
      <c r="G199" s="28" t="n"/>
      <c r="H199" s="28" t="n"/>
      <c r="I199" s="27" t="n"/>
      <c r="J199" s="55">
        <f>IF(OR(I199="",G199="Won",G199="Lost"),"",IF(I199&lt;TODAY(),"OVERDUE",""))</f>
        <v/>
      </c>
      <c r="K199" s="28" t="n"/>
    </row>
    <row r="200">
      <c r="A200" s="27" t="n"/>
      <c r="B200" s="28" t="n"/>
      <c r="C200" s="28" t="n"/>
      <c r="D200" s="28" t="n"/>
      <c r="E200" s="28" t="n"/>
      <c r="F200" s="29" t="n"/>
      <c r="G200" s="28" t="n"/>
      <c r="H200" s="28" t="n"/>
      <c r="I200" s="27" t="n"/>
      <c r="J200" s="55">
        <f>IF(OR(I200="",G200="Won",G200="Lost"),"",IF(I200&lt;TODAY(),"OVERDUE",""))</f>
        <v/>
      </c>
      <c r="K200" s="28" t="n"/>
    </row>
    <row r="201">
      <c r="A201" s="27" t="n"/>
      <c r="B201" s="28" t="n"/>
      <c r="C201" s="28" t="n"/>
      <c r="D201" s="28" t="n"/>
      <c r="E201" s="28" t="n"/>
      <c r="F201" s="29" t="n"/>
      <c r="G201" s="28" t="n"/>
      <c r="H201" s="28" t="n"/>
      <c r="I201" s="27" t="n"/>
      <c r="J201" s="55">
        <f>IF(OR(I201="",G201="Won",G201="Lost"),"",IF(I201&lt;TODAY(),"OVERDUE",""))</f>
        <v/>
      </c>
      <c r="K201" s="28" t="n"/>
    </row>
    <row r="202">
      <c r="A202" s="27" t="n"/>
      <c r="B202" s="28" t="n"/>
      <c r="C202" s="28" t="n"/>
      <c r="D202" s="28" t="n"/>
      <c r="E202" s="28" t="n"/>
      <c r="F202" s="29" t="n"/>
      <c r="G202" s="28" t="n"/>
      <c r="H202" s="28" t="n"/>
      <c r="I202" s="27" t="n"/>
      <c r="J202" s="55">
        <f>IF(OR(I202="",G202="Won",G202="Lost"),"",IF(I202&lt;TODAY(),"OVERDUE",""))</f>
        <v/>
      </c>
      <c r="K202" s="28" t="n"/>
    </row>
    <row r="203">
      <c r="A203" s="27" t="n"/>
      <c r="B203" s="28" t="n"/>
      <c r="C203" s="28" t="n"/>
      <c r="D203" s="28" t="n"/>
      <c r="E203" s="28" t="n"/>
      <c r="F203" s="29" t="n"/>
      <c r="G203" s="28" t="n"/>
      <c r="H203" s="28" t="n"/>
      <c r="I203" s="27" t="n"/>
      <c r="J203" s="55">
        <f>IF(OR(I203="",G203="Won",G203="Lost"),"",IF(I203&lt;TODAY(),"OVERDUE",""))</f>
        <v/>
      </c>
      <c r="K203" s="28" t="n"/>
    </row>
    <row r="204">
      <c r="A204" s="27" t="n"/>
      <c r="B204" s="28" t="n"/>
      <c r="C204" s="28" t="n"/>
      <c r="D204" s="28" t="n"/>
      <c r="E204" s="28" t="n"/>
      <c r="F204" s="29" t="n"/>
      <c r="G204" s="28" t="n"/>
      <c r="H204" s="28" t="n"/>
      <c r="I204" s="27" t="n"/>
      <c r="J204" s="55">
        <f>IF(OR(I204="",G204="Won",G204="Lost"),"",IF(I204&lt;TODAY(),"OVERDUE",""))</f>
        <v/>
      </c>
      <c r="K204" s="28" t="n"/>
    </row>
  </sheetData>
  <autoFilter ref="A4:K204"/>
  <dataValidations count="2">
    <dataValidation sqref="G5:G204" showDropDown="0" showInputMessage="0" showErrorMessage="0" allowBlank="1" type="list">
      <formula1>"New enquiry,Contacted,Meeting held,Proposal sent,Negotiating,Won,Lost"</formula1>
    </dataValidation>
    <dataValidation sqref="D5:D204" showDropDown="0" showInputMessage="0" showErrorMessage="0" allowBlank="1" type="list">
      <formula1>"Referral,Repeat client,Website,Facebook,Instagram,LinkedIn,Google,WhatsApp,Walk-in / event,Other"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9000"/>
    <outlinePr summaryBelow="1" summaryRight="1"/>
    <pageSetUpPr/>
  </sheetPr>
  <dimension ref="A1:N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  <col width="30" customWidth="1" min="13" max="13"/>
    <col width="30" customWidth="1" min="14" max="14"/>
  </cols>
  <sheetData>
    <row r="1">
      <c r="A1" s="11" t="inlineStr">
        <is>
          <t>Weekly Review: 30 minutes every Sunday or Monday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3" t="inlineStr">
        <is>
          <t>Answer Yes/No honestly. The money columns fill in automatically from Transactions.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30" customHeight="1">
      <c r="A4" s="18" t="inlineStr">
        <is>
          <t>Week</t>
        </is>
      </c>
      <c r="B4" s="18" t="inlineStr">
        <is>
          <t>From</t>
        </is>
      </c>
      <c r="C4" s="18" t="inlineStr">
        <is>
          <t>To</t>
        </is>
      </c>
      <c r="D4" s="18" t="inlineStr">
        <is>
          <t>Money in (auto)</t>
        </is>
      </c>
      <c r="E4" s="18" t="inlineStr">
        <is>
          <t>Money out (auto)</t>
        </is>
      </c>
      <c r="F4" s="18" t="inlineStr">
        <is>
          <t>Net (auto)</t>
        </is>
      </c>
      <c r="G4" s="18" t="inlineStr">
        <is>
          <t>All transactions entered?</t>
        </is>
      </c>
      <c r="H4" s="18" t="inlineStr">
        <is>
          <t>Receipts saved?</t>
        </is>
      </c>
      <c r="I4" s="18" t="inlineStr">
        <is>
          <t>Invoices sent &amp; chased?</t>
        </is>
      </c>
      <c r="J4" s="18" t="inlineStr">
        <is>
          <t>Bank matches sheet?</t>
        </is>
      </c>
      <c r="K4" s="18" t="inlineStr">
        <is>
          <t>Plan tasks done?</t>
        </is>
      </c>
      <c r="L4" s="18" t="inlineStr">
        <is>
          <t>Biggest win</t>
        </is>
      </c>
      <c r="M4" s="18" t="inlineStr">
        <is>
          <t>Biggest problem</t>
        </is>
      </c>
      <c r="N4" s="18" t="inlineStr">
        <is>
          <t>Focus for next week</t>
        </is>
      </c>
    </row>
    <row r="5">
      <c r="A5" s="5" t="inlineStr">
        <is>
          <t>Week 0</t>
        </is>
      </c>
      <c r="B5" s="56" t="n">
        <v>46296</v>
      </c>
      <c r="C5" s="56" t="n">
        <v>46299</v>
      </c>
      <c r="D5" s="41">
        <f>SUMIFS(Transactions!$E$5:$E$1504,Transactions!$A$5:$A$1504,"&gt;="&amp;B5,Transactions!$A$5:$A$1504,"&lt;="&amp;C5)-SUMIFS(Transactions!$E$5:$E$1504,Transactions!$A$5:$A$1504,"&gt;="&amp;B5,Transactions!$A$5:$A$1504,"&lt;="&amp;C5,Transactions!$K$5:$K$1504,"Transfer")</f>
        <v/>
      </c>
      <c r="E5" s="41">
        <f>SUMIFS(Transactions!$F$5:$F$1504,Transactions!$A$5:$A$1504,"&gt;="&amp;B5,Transactions!$A$5:$A$1504,"&lt;="&amp;C5)-SUMIFS(Transactions!$F$5:$F$1504,Transactions!$A$5:$A$1504,"&gt;="&amp;B5,Transactions!$A$5:$A$1504,"&lt;="&amp;C5,Transactions!$K$5:$K$1504,"Transfer")</f>
        <v/>
      </c>
      <c r="F5" s="19">
        <f>D5-E5</f>
        <v/>
      </c>
      <c r="G5" s="57" t="n"/>
      <c r="H5" s="57" t="n"/>
      <c r="I5" s="57" t="n"/>
      <c r="J5" s="57" t="n"/>
      <c r="K5" s="57" t="n"/>
      <c r="L5" s="57" t="n"/>
      <c r="M5" s="57" t="n"/>
      <c r="N5" s="57" t="n"/>
    </row>
    <row r="6">
      <c r="A6" s="5" t="inlineStr">
        <is>
          <t>Week 1</t>
        </is>
      </c>
      <c r="B6" s="56" t="n">
        <v>46300</v>
      </c>
      <c r="C6" s="56" t="n">
        <v>46306</v>
      </c>
      <c r="D6" s="41">
        <f>SUMIFS(Transactions!$E$5:$E$1504,Transactions!$A$5:$A$1504,"&gt;="&amp;B6,Transactions!$A$5:$A$1504,"&lt;="&amp;C6)-SUMIFS(Transactions!$E$5:$E$1504,Transactions!$A$5:$A$1504,"&gt;="&amp;B6,Transactions!$A$5:$A$1504,"&lt;="&amp;C6,Transactions!$K$5:$K$1504,"Transfer")</f>
        <v/>
      </c>
      <c r="E6" s="41">
        <f>SUMIFS(Transactions!$F$5:$F$1504,Transactions!$A$5:$A$1504,"&gt;="&amp;B6,Transactions!$A$5:$A$1504,"&lt;="&amp;C6)-SUMIFS(Transactions!$F$5:$F$1504,Transactions!$A$5:$A$1504,"&gt;="&amp;B6,Transactions!$A$5:$A$1504,"&lt;="&amp;C6,Transactions!$K$5:$K$1504,"Transfer")</f>
        <v/>
      </c>
      <c r="F6" s="19">
        <f>D6-E6</f>
        <v/>
      </c>
      <c r="G6" s="57" t="n"/>
      <c r="H6" s="57" t="n"/>
      <c r="I6" s="57" t="n"/>
      <c r="J6" s="57" t="n"/>
      <c r="K6" s="57" t="n"/>
      <c r="L6" s="57" t="n"/>
      <c r="M6" s="57" t="n"/>
      <c r="N6" s="57" t="n"/>
    </row>
    <row r="7">
      <c r="A7" s="5" t="inlineStr">
        <is>
          <t>Week 2</t>
        </is>
      </c>
      <c r="B7" s="56" t="n">
        <v>46307</v>
      </c>
      <c r="C7" s="56" t="n">
        <v>46313</v>
      </c>
      <c r="D7" s="41">
        <f>SUMIFS(Transactions!$E$5:$E$1504,Transactions!$A$5:$A$1504,"&gt;="&amp;B7,Transactions!$A$5:$A$1504,"&lt;="&amp;C7)-SUMIFS(Transactions!$E$5:$E$1504,Transactions!$A$5:$A$1504,"&gt;="&amp;B7,Transactions!$A$5:$A$1504,"&lt;="&amp;C7,Transactions!$K$5:$K$1504,"Transfer")</f>
        <v/>
      </c>
      <c r="E7" s="41">
        <f>SUMIFS(Transactions!$F$5:$F$1504,Transactions!$A$5:$A$1504,"&gt;="&amp;B7,Transactions!$A$5:$A$1504,"&lt;="&amp;C7)-SUMIFS(Transactions!$F$5:$F$1504,Transactions!$A$5:$A$1504,"&gt;="&amp;B7,Transactions!$A$5:$A$1504,"&lt;="&amp;C7,Transactions!$K$5:$K$1504,"Transfer")</f>
        <v/>
      </c>
      <c r="F7" s="19">
        <f>D7-E7</f>
        <v/>
      </c>
      <c r="G7" s="57" t="n"/>
      <c r="H7" s="57" t="n"/>
      <c r="I7" s="57" t="n"/>
      <c r="J7" s="57" t="n"/>
      <c r="K7" s="57" t="n"/>
      <c r="L7" s="57" t="n"/>
      <c r="M7" s="57" t="n"/>
      <c r="N7" s="57" t="n"/>
    </row>
    <row r="8">
      <c r="A8" s="5" t="inlineStr">
        <is>
          <t>Week 3</t>
        </is>
      </c>
      <c r="B8" s="56" t="n">
        <v>46314</v>
      </c>
      <c r="C8" s="56" t="n">
        <v>46320</v>
      </c>
      <c r="D8" s="41">
        <f>SUMIFS(Transactions!$E$5:$E$1504,Transactions!$A$5:$A$1504,"&gt;="&amp;B8,Transactions!$A$5:$A$1504,"&lt;="&amp;C8)-SUMIFS(Transactions!$E$5:$E$1504,Transactions!$A$5:$A$1504,"&gt;="&amp;B8,Transactions!$A$5:$A$1504,"&lt;="&amp;C8,Transactions!$K$5:$K$1504,"Transfer")</f>
        <v/>
      </c>
      <c r="E8" s="41">
        <f>SUMIFS(Transactions!$F$5:$F$1504,Transactions!$A$5:$A$1504,"&gt;="&amp;B8,Transactions!$A$5:$A$1504,"&lt;="&amp;C8)-SUMIFS(Transactions!$F$5:$F$1504,Transactions!$A$5:$A$1504,"&gt;="&amp;B8,Transactions!$A$5:$A$1504,"&lt;="&amp;C8,Transactions!$K$5:$K$1504,"Transfer")</f>
        <v/>
      </c>
      <c r="F8" s="19">
        <f>D8-E8</f>
        <v/>
      </c>
      <c r="G8" s="57" t="n"/>
      <c r="H8" s="57" t="n"/>
      <c r="I8" s="57" t="n"/>
      <c r="J8" s="57" t="n"/>
      <c r="K8" s="57" t="n"/>
      <c r="L8" s="57" t="n"/>
      <c r="M8" s="57" t="n"/>
      <c r="N8" s="57" t="n"/>
    </row>
    <row r="9">
      <c r="A9" s="5" t="inlineStr">
        <is>
          <t>Week 4</t>
        </is>
      </c>
      <c r="B9" s="56" t="n">
        <v>46321</v>
      </c>
      <c r="C9" s="56" t="n">
        <v>46327</v>
      </c>
      <c r="D9" s="41">
        <f>SUMIFS(Transactions!$E$5:$E$1504,Transactions!$A$5:$A$1504,"&gt;="&amp;B9,Transactions!$A$5:$A$1504,"&lt;="&amp;C9)-SUMIFS(Transactions!$E$5:$E$1504,Transactions!$A$5:$A$1504,"&gt;="&amp;B9,Transactions!$A$5:$A$1504,"&lt;="&amp;C9,Transactions!$K$5:$K$1504,"Transfer")</f>
        <v/>
      </c>
      <c r="E9" s="41">
        <f>SUMIFS(Transactions!$F$5:$F$1504,Transactions!$A$5:$A$1504,"&gt;="&amp;B9,Transactions!$A$5:$A$1504,"&lt;="&amp;C9)-SUMIFS(Transactions!$F$5:$F$1504,Transactions!$A$5:$A$1504,"&gt;="&amp;B9,Transactions!$A$5:$A$1504,"&lt;="&amp;C9,Transactions!$K$5:$K$1504,"Transfer")</f>
        <v/>
      </c>
      <c r="F9" s="19">
        <f>D9-E9</f>
        <v/>
      </c>
      <c r="G9" s="57" t="n"/>
      <c r="H9" s="57" t="n"/>
      <c r="I9" s="57" t="n"/>
      <c r="J9" s="57" t="n"/>
      <c r="K9" s="57" t="n"/>
      <c r="L9" s="57" t="n"/>
      <c r="M9" s="57" t="n"/>
      <c r="N9" s="57" t="n"/>
    </row>
    <row r="10">
      <c r="A10" s="5" t="inlineStr">
        <is>
          <t>Week 5</t>
        </is>
      </c>
      <c r="B10" s="56" t="n">
        <v>46328</v>
      </c>
      <c r="C10" s="56" t="n">
        <v>46334</v>
      </c>
      <c r="D10" s="41">
        <f>SUMIFS(Transactions!$E$5:$E$1504,Transactions!$A$5:$A$1504,"&gt;="&amp;B10,Transactions!$A$5:$A$1504,"&lt;="&amp;C10)-SUMIFS(Transactions!$E$5:$E$1504,Transactions!$A$5:$A$1504,"&gt;="&amp;B10,Transactions!$A$5:$A$1504,"&lt;="&amp;C10,Transactions!$K$5:$K$1504,"Transfer")</f>
        <v/>
      </c>
      <c r="E10" s="41">
        <f>SUMIFS(Transactions!$F$5:$F$1504,Transactions!$A$5:$A$1504,"&gt;="&amp;B10,Transactions!$A$5:$A$1504,"&lt;="&amp;C10)-SUMIFS(Transactions!$F$5:$F$1504,Transactions!$A$5:$A$1504,"&gt;="&amp;B10,Transactions!$A$5:$A$1504,"&lt;="&amp;C10,Transactions!$K$5:$K$1504,"Transfer")</f>
        <v/>
      </c>
      <c r="F10" s="19">
        <f>D10-E10</f>
        <v/>
      </c>
      <c r="G10" s="57" t="n"/>
      <c r="H10" s="57" t="n"/>
      <c r="I10" s="57" t="n"/>
      <c r="J10" s="57" t="n"/>
      <c r="K10" s="57" t="n"/>
      <c r="L10" s="57" t="n"/>
      <c r="M10" s="57" t="n"/>
      <c r="N10" s="57" t="n"/>
    </row>
    <row r="11">
      <c r="A11" s="5" t="inlineStr">
        <is>
          <t>Week 6</t>
        </is>
      </c>
      <c r="B11" s="56" t="n">
        <v>46335</v>
      </c>
      <c r="C11" s="56" t="n">
        <v>46341</v>
      </c>
      <c r="D11" s="41">
        <f>SUMIFS(Transactions!$E$5:$E$1504,Transactions!$A$5:$A$1504,"&gt;="&amp;B11,Transactions!$A$5:$A$1504,"&lt;="&amp;C11)-SUMIFS(Transactions!$E$5:$E$1504,Transactions!$A$5:$A$1504,"&gt;="&amp;B11,Transactions!$A$5:$A$1504,"&lt;="&amp;C11,Transactions!$K$5:$K$1504,"Transfer")</f>
        <v/>
      </c>
      <c r="E11" s="41">
        <f>SUMIFS(Transactions!$F$5:$F$1504,Transactions!$A$5:$A$1504,"&gt;="&amp;B11,Transactions!$A$5:$A$1504,"&lt;="&amp;C11)-SUMIFS(Transactions!$F$5:$F$1504,Transactions!$A$5:$A$1504,"&gt;="&amp;B11,Transactions!$A$5:$A$1504,"&lt;="&amp;C11,Transactions!$K$5:$K$1504,"Transfer")</f>
        <v/>
      </c>
      <c r="F11" s="19">
        <f>D11-E11</f>
        <v/>
      </c>
      <c r="G11" s="57" t="n"/>
      <c r="H11" s="57" t="n"/>
      <c r="I11" s="57" t="n"/>
      <c r="J11" s="57" t="n"/>
      <c r="K11" s="57" t="n"/>
      <c r="L11" s="57" t="n"/>
      <c r="M11" s="57" t="n"/>
      <c r="N11" s="57" t="n"/>
    </row>
    <row r="12">
      <c r="A12" s="5" t="inlineStr">
        <is>
          <t>Week 7</t>
        </is>
      </c>
      <c r="B12" s="56" t="n">
        <v>46342</v>
      </c>
      <c r="C12" s="56" t="n">
        <v>46348</v>
      </c>
      <c r="D12" s="41">
        <f>SUMIFS(Transactions!$E$5:$E$1504,Transactions!$A$5:$A$1504,"&gt;="&amp;B12,Transactions!$A$5:$A$1504,"&lt;="&amp;C12)-SUMIFS(Transactions!$E$5:$E$1504,Transactions!$A$5:$A$1504,"&gt;="&amp;B12,Transactions!$A$5:$A$1504,"&lt;="&amp;C12,Transactions!$K$5:$K$1504,"Transfer")</f>
        <v/>
      </c>
      <c r="E12" s="41">
        <f>SUMIFS(Transactions!$F$5:$F$1504,Transactions!$A$5:$A$1504,"&gt;="&amp;B12,Transactions!$A$5:$A$1504,"&lt;="&amp;C12)-SUMIFS(Transactions!$F$5:$F$1504,Transactions!$A$5:$A$1504,"&gt;="&amp;B12,Transactions!$A$5:$A$1504,"&lt;="&amp;C12,Transactions!$K$5:$K$1504,"Transfer")</f>
        <v/>
      </c>
      <c r="F12" s="19">
        <f>D12-E12</f>
        <v/>
      </c>
      <c r="G12" s="57" t="n"/>
      <c r="H12" s="57" t="n"/>
      <c r="I12" s="57" t="n"/>
      <c r="J12" s="57" t="n"/>
      <c r="K12" s="57" t="n"/>
      <c r="L12" s="57" t="n"/>
      <c r="M12" s="57" t="n"/>
      <c r="N12" s="57" t="n"/>
    </row>
    <row r="13">
      <c r="A13" s="5" t="inlineStr">
        <is>
          <t>Week 8</t>
        </is>
      </c>
      <c r="B13" s="56" t="n">
        <v>46349</v>
      </c>
      <c r="C13" s="56" t="n">
        <v>46355</v>
      </c>
      <c r="D13" s="41">
        <f>SUMIFS(Transactions!$E$5:$E$1504,Transactions!$A$5:$A$1504,"&gt;="&amp;B13,Transactions!$A$5:$A$1504,"&lt;="&amp;C13)-SUMIFS(Transactions!$E$5:$E$1504,Transactions!$A$5:$A$1504,"&gt;="&amp;B13,Transactions!$A$5:$A$1504,"&lt;="&amp;C13,Transactions!$K$5:$K$1504,"Transfer")</f>
        <v/>
      </c>
      <c r="E13" s="41">
        <f>SUMIFS(Transactions!$F$5:$F$1504,Transactions!$A$5:$A$1504,"&gt;="&amp;B13,Transactions!$A$5:$A$1504,"&lt;="&amp;C13)-SUMIFS(Transactions!$F$5:$F$1504,Transactions!$A$5:$A$1504,"&gt;="&amp;B13,Transactions!$A$5:$A$1504,"&lt;="&amp;C13,Transactions!$K$5:$K$1504,"Transfer")</f>
        <v/>
      </c>
      <c r="F13" s="19">
        <f>D13-E13</f>
        <v/>
      </c>
      <c r="G13" s="57" t="n"/>
      <c r="H13" s="57" t="n"/>
      <c r="I13" s="57" t="n"/>
      <c r="J13" s="57" t="n"/>
      <c r="K13" s="57" t="n"/>
      <c r="L13" s="57" t="n"/>
      <c r="M13" s="57" t="n"/>
      <c r="N13" s="57" t="n"/>
    </row>
    <row r="14">
      <c r="A14" s="5" t="inlineStr">
        <is>
          <t>Week 9</t>
        </is>
      </c>
      <c r="B14" s="56" t="n">
        <v>46356</v>
      </c>
      <c r="C14" s="56" t="n">
        <v>46362</v>
      </c>
      <c r="D14" s="41">
        <f>SUMIFS(Transactions!$E$5:$E$1504,Transactions!$A$5:$A$1504,"&gt;="&amp;B14,Transactions!$A$5:$A$1504,"&lt;="&amp;C14)-SUMIFS(Transactions!$E$5:$E$1504,Transactions!$A$5:$A$1504,"&gt;="&amp;B14,Transactions!$A$5:$A$1504,"&lt;="&amp;C14,Transactions!$K$5:$K$1504,"Transfer")</f>
        <v/>
      </c>
      <c r="E14" s="41">
        <f>SUMIFS(Transactions!$F$5:$F$1504,Transactions!$A$5:$A$1504,"&gt;="&amp;B14,Transactions!$A$5:$A$1504,"&lt;="&amp;C14)-SUMIFS(Transactions!$F$5:$F$1504,Transactions!$A$5:$A$1504,"&gt;="&amp;B14,Transactions!$A$5:$A$1504,"&lt;="&amp;C14,Transactions!$K$5:$K$1504,"Transfer")</f>
        <v/>
      </c>
      <c r="F14" s="19">
        <f>D14-E14</f>
        <v/>
      </c>
      <c r="G14" s="57" t="n"/>
      <c r="H14" s="57" t="n"/>
      <c r="I14" s="57" t="n"/>
      <c r="J14" s="57" t="n"/>
      <c r="K14" s="57" t="n"/>
      <c r="L14" s="57" t="n"/>
      <c r="M14" s="57" t="n"/>
      <c r="N14" s="57" t="n"/>
    </row>
    <row r="15">
      <c r="A15" s="5" t="inlineStr">
        <is>
          <t>Week 10</t>
        </is>
      </c>
      <c r="B15" s="56" t="n">
        <v>46363</v>
      </c>
      <c r="C15" s="56" t="n">
        <v>46369</v>
      </c>
      <c r="D15" s="41">
        <f>SUMIFS(Transactions!$E$5:$E$1504,Transactions!$A$5:$A$1504,"&gt;="&amp;B15,Transactions!$A$5:$A$1504,"&lt;="&amp;C15)-SUMIFS(Transactions!$E$5:$E$1504,Transactions!$A$5:$A$1504,"&gt;="&amp;B15,Transactions!$A$5:$A$1504,"&lt;="&amp;C15,Transactions!$K$5:$K$1504,"Transfer")</f>
        <v/>
      </c>
      <c r="E15" s="41">
        <f>SUMIFS(Transactions!$F$5:$F$1504,Transactions!$A$5:$A$1504,"&gt;="&amp;B15,Transactions!$A$5:$A$1504,"&lt;="&amp;C15)-SUMIFS(Transactions!$F$5:$F$1504,Transactions!$A$5:$A$1504,"&gt;="&amp;B15,Transactions!$A$5:$A$1504,"&lt;="&amp;C15,Transactions!$K$5:$K$1504,"Transfer")</f>
        <v/>
      </c>
      <c r="F15" s="19">
        <f>D15-E15</f>
        <v/>
      </c>
      <c r="G15" s="57" t="n"/>
      <c r="H15" s="57" t="n"/>
      <c r="I15" s="57" t="n"/>
      <c r="J15" s="57" t="n"/>
      <c r="K15" s="57" t="n"/>
      <c r="L15" s="57" t="n"/>
      <c r="M15" s="57" t="n"/>
      <c r="N15" s="57" t="n"/>
    </row>
    <row r="16">
      <c r="A16" s="5" t="inlineStr">
        <is>
          <t>Week 11</t>
        </is>
      </c>
      <c r="B16" s="56" t="n">
        <v>46370</v>
      </c>
      <c r="C16" s="56" t="n">
        <v>46376</v>
      </c>
      <c r="D16" s="41">
        <f>SUMIFS(Transactions!$E$5:$E$1504,Transactions!$A$5:$A$1504,"&gt;="&amp;B16,Transactions!$A$5:$A$1504,"&lt;="&amp;C16)-SUMIFS(Transactions!$E$5:$E$1504,Transactions!$A$5:$A$1504,"&gt;="&amp;B16,Transactions!$A$5:$A$1504,"&lt;="&amp;C16,Transactions!$K$5:$K$1504,"Transfer")</f>
        <v/>
      </c>
      <c r="E16" s="41">
        <f>SUMIFS(Transactions!$F$5:$F$1504,Transactions!$A$5:$A$1504,"&gt;="&amp;B16,Transactions!$A$5:$A$1504,"&lt;="&amp;C16)-SUMIFS(Transactions!$F$5:$F$1504,Transactions!$A$5:$A$1504,"&gt;="&amp;B16,Transactions!$A$5:$A$1504,"&lt;="&amp;C16,Transactions!$K$5:$K$1504,"Transfer")</f>
        <v/>
      </c>
      <c r="F16" s="19">
        <f>D16-E16</f>
        <v/>
      </c>
      <c r="G16" s="57" t="n"/>
      <c r="H16" s="57" t="n"/>
      <c r="I16" s="57" t="n"/>
      <c r="J16" s="57" t="n"/>
      <c r="K16" s="57" t="n"/>
      <c r="L16" s="57" t="n"/>
      <c r="M16" s="57" t="n"/>
      <c r="N16" s="57" t="n"/>
    </row>
    <row r="17">
      <c r="A17" s="5" t="inlineStr">
        <is>
          <t>Week 12</t>
        </is>
      </c>
      <c r="B17" s="56" t="n">
        <v>46377</v>
      </c>
      <c r="C17" s="56" t="n">
        <v>46383</v>
      </c>
      <c r="D17" s="41">
        <f>SUMIFS(Transactions!$E$5:$E$1504,Transactions!$A$5:$A$1504,"&gt;="&amp;B17,Transactions!$A$5:$A$1504,"&lt;="&amp;C17)-SUMIFS(Transactions!$E$5:$E$1504,Transactions!$A$5:$A$1504,"&gt;="&amp;B17,Transactions!$A$5:$A$1504,"&lt;="&amp;C17,Transactions!$K$5:$K$1504,"Transfer")</f>
        <v/>
      </c>
      <c r="E17" s="41">
        <f>SUMIFS(Transactions!$F$5:$F$1504,Transactions!$A$5:$A$1504,"&gt;="&amp;B17,Transactions!$A$5:$A$1504,"&lt;="&amp;C17)-SUMIFS(Transactions!$F$5:$F$1504,Transactions!$A$5:$A$1504,"&gt;="&amp;B17,Transactions!$A$5:$A$1504,"&lt;="&amp;C17,Transactions!$K$5:$K$1504,"Transfer")</f>
        <v/>
      </c>
      <c r="F17" s="19">
        <f>D17-E17</f>
        <v/>
      </c>
      <c r="G17" s="57" t="n"/>
      <c r="H17" s="57" t="n"/>
      <c r="I17" s="57" t="n"/>
      <c r="J17" s="57" t="n"/>
      <c r="K17" s="57" t="n"/>
      <c r="L17" s="57" t="n"/>
      <c r="M17" s="57" t="n"/>
      <c r="N17" s="57" t="n"/>
    </row>
    <row r="18">
      <c r="A18" s="5" t="inlineStr">
        <is>
          <t>Week 13</t>
        </is>
      </c>
      <c r="B18" s="56" t="n">
        <v>46384</v>
      </c>
      <c r="C18" s="56" t="n">
        <v>46387</v>
      </c>
      <c r="D18" s="41">
        <f>SUMIFS(Transactions!$E$5:$E$1504,Transactions!$A$5:$A$1504,"&gt;="&amp;B18,Transactions!$A$5:$A$1504,"&lt;="&amp;C18)-SUMIFS(Transactions!$E$5:$E$1504,Transactions!$A$5:$A$1504,"&gt;="&amp;B18,Transactions!$A$5:$A$1504,"&lt;="&amp;C18,Transactions!$K$5:$K$1504,"Transfer")</f>
        <v/>
      </c>
      <c r="E18" s="41">
        <f>SUMIFS(Transactions!$F$5:$F$1504,Transactions!$A$5:$A$1504,"&gt;="&amp;B18,Transactions!$A$5:$A$1504,"&lt;="&amp;C18)-SUMIFS(Transactions!$F$5:$F$1504,Transactions!$A$5:$A$1504,"&gt;="&amp;B18,Transactions!$A$5:$A$1504,"&lt;="&amp;C18,Transactions!$K$5:$K$1504,"Transfer")</f>
        <v/>
      </c>
      <c r="F18" s="19">
        <f>D18-E18</f>
        <v/>
      </c>
      <c r="G18" s="57" t="n"/>
      <c r="H18" s="57" t="n"/>
      <c r="I18" s="57" t="n"/>
      <c r="J18" s="57" t="n"/>
      <c r="K18" s="57" t="n"/>
      <c r="L18" s="57" t="n"/>
      <c r="M18" s="57" t="n"/>
      <c r="N18" s="57" t="n"/>
    </row>
  </sheetData>
  <conditionalFormatting sqref="G5:K18">
    <cfRule type="cellIs" priority="1" operator="equal" dxfId="0">
      <formula>"No"</formula>
    </cfRule>
    <cfRule type="cellIs" priority="2" operator="equal" dxfId="3">
      <formula>"Yes"</formula>
    </cfRule>
  </conditionalFormatting>
  <dataValidations count="1">
    <dataValidation sqref="G5:K5 G6:K6 G7:K7 G8:K8 G9:K9 G10:K10 G11:K11 G12:K12 G13:K13 G14:K14 G15:K15 G16:K16 G17:K17 G18:K18" showDropDown="0" showInputMessage="0" showErrorMessage="0" allowBlank="1" type="list">
      <formula1>"Yes,No,Partly"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9000"/>
    <outlinePr summaryBelow="1" summaryRight="1"/>
    <pageSetUpPr/>
  </sheetPr>
  <dimension ref="A1:G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2" customWidth="1" min="4" max="4"/>
    <col width="70" customWidth="1" min="5" max="5"/>
    <col width="50" customWidth="1" min="6" max="6"/>
    <col width="14" customWidth="1" min="7" max="7"/>
  </cols>
  <sheetData>
    <row r="1">
      <c r="A1" s="11" t="inlineStr">
        <is>
          <t>90-Day Plan: October – December 2026</t>
        </is>
      </c>
      <c r="B1" s="1" t="n"/>
      <c r="C1" s="1" t="n"/>
      <c r="D1" s="1" t="n"/>
      <c r="E1" s="1" t="n"/>
      <c r="F1" s="1" t="n"/>
      <c r="G1" s="1" t="n"/>
    </row>
    <row r="2">
      <c r="A2" s="3" t="inlineStr">
        <is>
          <t>Your task list from the crash course. Change Status as you go; progress updates automatically.</t>
        </is>
      </c>
      <c r="B2" s="1" t="n"/>
      <c r="C2" s="1" t="n"/>
      <c r="D2" s="1" t="n"/>
      <c r="E2" s="1" t="n"/>
      <c r="F2" s="1" t="n"/>
      <c r="G2" s="1" t="n"/>
    </row>
    <row r="3">
      <c r="A3" s="5" t="inlineStr">
        <is>
          <t>Progress:</t>
        </is>
      </c>
      <c r="B3" s="58">
        <f>COUNTIF(G6:G45,"Done")/COUNTA(E6:E45)</f>
        <v/>
      </c>
      <c r="C3" s="5">
        <f>COUNTIF(G6:G45,"Done")&amp;" of "&amp;COUNTA(E6:E45)&amp;" tasks done"</f>
        <v/>
      </c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8" t="inlineStr">
        <is>
          <t>Week</t>
        </is>
      </c>
      <c r="B5" s="18" t="inlineStr">
        <is>
          <t>Dates</t>
        </is>
      </c>
      <c r="C5" s="18" t="inlineStr">
        <is>
          <t>Theme</t>
        </is>
      </c>
      <c r="D5" s="18" t="inlineStr">
        <is>
          <t>Area</t>
        </is>
      </c>
      <c r="E5" s="18" t="inlineStr">
        <is>
          <t>Task</t>
        </is>
      </c>
      <c r="F5" s="18" t="inlineStr">
        <is>
          <t>Done when…</t>
        </is>
      </c>
      <c r="G5" s="18" t="inlineStr">
        <is>
          <t>Status</t>
        </is>
      </c>
    </row>
    <row r="6">
      <c r="A6" s="59" t="inlineStr">
        <is>
          <t>Week 0</t>
        </is>
      </c>
      <c r="B6" s="59" t="inlineStr">
        <is>
          <t>1–4 Oct</t>
        </is>
      </c>
      <c r="C6" s="59" t="inlineStr">
        <is>
          <t>Kick-off</t>
        </is>
      </c>
      <c r="D6" s="59" t="inlineStr">
        <is>
          <t>Learn</t>
        </is>
      </c>
      <c r="E6" s="59" t="inlineStr">
        <is>
          <t>Read Part 1 of the crash course (the money language: revenue, costs, profit, cash).</t>
        </is>
      </c>
      <c r="F6" s="59" t="inlineStr">
        <is>
          <t>You can explain the difference between profit and cash in your own words.</t>
        </is>
      </c>
      <c r="G6" s="13" t="inlineStr">
        <is>
          <t>Not started</t>
        </is>
      </c>
    </row>
    <row r="7">
      <c r="A7" s="59" t="inlineStr">
        <is>
          <t>Week 0</t>
        </is>
      </c>
      <c r="B7" s="59" t="inlineStr">
        <is>
          <t>1–4 Oct</t>
        </is>
      </c>
      <c r="C7" s="59" t="inlineStr">
        <is>
          <t>Kick-off</t>
        </is>
      </c>
      <c r="D7" s="59" t="inlineStr">
        <is>
          <t>Money</t>
        </is>
      </c>
      <c r="E7" s="59" t="inlineStr">
        <is>
          <t>Choose ONE bank account for the business only. Open a new one if needed.</t>
        </is>
      </c>
      <c r="F7" s="59" t="inlineStr">
        <is>
          <t>Every client payment from now on goes into that account.</t>
        </is>
      </c>
      <c r="G7" s="13" t="inlineStr">
        <is>
          <t>Not started</t>
        </is>
      </c>
    </row>
    <row r="8">
      <c r="A8" s="59" t="inlineStr">
        <is>
          <t>Week 0</t>
        </is>
      </c>
      <c r="B8" s="59" t="inlineStr">
        <is>
          <t>1–4 Oct</t>
        </is>
      </c>
      <c r="C8" s="59" t="inlineStr">
        <is>
          <t>Kick-off</t>
        </is>
      </c>
      <c r="D8" s="59" t="inlineStr">
        <is>
          <t>Money</t>
        </is>
      </c>
      <c r="E8" s="59" t="inlineStr">
        <is>
          <t>Download bank statements from 1 April 2025 to today (the 2025/26 and 2026/27 tax years).</t>
        </is>
      </c>
      <c r="F8" s="59" t="inlineStr">
        <is>
          <t>PDF or Excel statements saved in one folder.</t>
        </is>
      </c>
      <c r="G8" s="13" t="inlineStr">
        <is>
          <t>Not started</t>
        </is>
      </c>
    </row>
    <row r="9">
      <c r="A9" s="59" t="inlineStr">
        <is>
          <t>Week 0</t>
        </is>
      </c>
      <c r="B9" s="59" t="inlineStr">
        <is>
          <t>1–4 Oct</t>
        </is>
      </c>
      <c r="C9" s="59" t="inlineStr">
        <is>
          <t>Kick-off</t>
        </is>
      </c>
      <c r="D9" s="59" t="inlineStr">
        <is>
          <t>Tool</t>
        </is>
      </c>
      <c r="E9" s="59" t="inlineStr">
        <is>
          <t>Fill in the Setup sheet: business name, opening balances, categories, accounts.</t>
        </is>
      </c>
      <c r="F9" s="59" t="inlineStr">
        <is>
          <t>Setup sheet complete; no yellow cells left empty that apply to you.</t>
        </is>
      </c>
      <c r="G9" s="13" t="inlineStr">
        <is>
          <t>Not started</t>
        </is>
      </c>
    </row>
    <row r="10">
      <c r="A10" s="59" t="inlineStr">
        <is>
          <t>Week 1</t>
        </is>
      </c>
      <c r="B10" s="59" t="inlineStr">
        <is>
          <t>5–11 Oct</t>
        </is>
      </c>
      <c r="C10" s="59" t="inlineStr">
        <is>
          <t>Rebuild the past (part 1)</t>
        </is>
      </c>
      <c r="D10" s="59" t="inlineStr">
        <is>
          <t>Tool</t>
        </is>
      </c>
      <c r="E10" s="59" t="inlineStr">
        <is>
          <t>Enter every transaction for April–June 2026 from the bank statements into the Transactions sheet.</t>
        </is>
      </c>
      <c r="F10" s="59" t="inlineStr">
        <is>
          <t>Closing balance on the Cash Flow sheet for June matches the bank statement.</t>
        </is>
      </c>
      <c r="G10" s="13" t="inlineStr">
        <is>
          <t>Not started</t>
        </is>
      </c>
    </row>
    <row r="11">
      <c r="A11" s="59" t="inlineStr">
        <is>
          <t>Week 1</t>
        </is>
      </c>
      <c r="B11" s="59" t="inlineStr">
        <is>
          <t>5–11 Oct</t>
        </is>
      </c>
      <c r="C11" s="59" t="inlineStr">
        <is>
          <t>Rebuild the past (part 1)</t>
        </is>
      </c>
      <c r="D11" s="59" t="inlineStr">
        <is>
          <t>Learn</t>
        </is>
      </c>
      <c r="E11" s="59" t="inlineStr">
        <is>
          <t>Read Part 2: how bookkeeping works (categories, the cash book, receipts).</t>
        </is>
      </c>
      <c r="F11" s="59" t="inlineStr">
        <is>
          <t>You know which category every common expense goes into.</t>
        </is>
      </c>
      <c r="G11" s="13" t="inlineStr">
        <is>
          <t>Not started</t>
        </is>
      </c>
    </row>
    <row r="12">
      <c r="A12" s="59" t="inlineStr">
        <is>
          <t>Week 1</t>
        </is>
      </c>
      <c r="B12" s="59" t="inlineStr">
        <is>
          <t>5–11 Oct</t>
        </is>
      </c>
      <c r="C12" s="59" t="inlineStr">
        <is>
          <t>Rebuild the past (part 1)</t>
        </is>
      </c>
      <c r="D12" s="59" t="inlineStr">
        <is>
          <t>Money</t>
        </is>
      </c>
      <c r="E12" s="59" t="inlineStr">
        <is>
          <t>Start a receipt habit: photograph every receipt into one phone album or folder named by month.</t>
        </is>
      </c>
      <c r="F12" s="59" t="inlineStr">
        <is>
          <t>This week's receipts are all saved.</t>
        </is>
      </c>
      <c r="G12" s="13" t="inlineStr">
        <is>
          <t>Not started</t>
        </is>
      </c>
    </row>
    <row r="13">
      <c r="A13" s="59" t="inlineStr">
        <is>
          <t>Week 2</t>
        </is>
      </c>
      <c r="B13" s="59" t="inlineStr">
        <is>
          <t>12–18 Oct</t>
        </is>
      </c>
      <c r="C13" s="59" t="inlineStr">
        <is>
          <t>Rebuild the past (part 2)</t>
        </is>
      </c>
      <c r="D13" s="59" t="inlineStr">
        <is>
          <t>Tool</t>
        </is>
      </c>
      <c r="E13" s="59" t="inlineStr">
        <is>
          <t>Enter July–September 2026 transactions.</t>
        </is>
      </c>
      <c r="F13" s="59" t="inlineStr">
        <is>
          <t>September closing balance matches the bank.</t>
        </is>
      </c>
      <c r="G13" s="13" t="inlineStr">
        <is>
          <t>Not started</t>
        </is>
      </c>
    </row>
    <row r="14">
      <c r="A14" s="59" t="inlineStr">
        <is>
          <t>Week 2</t>
        </is>
      </c>
      <c r="B14" s="59" t="inlineStr">
        <is>
          <t>12–18 Oct</t>
        </is>
      </c>
      <c r="C14" s="59" t="inlineStr">
        <is>
          <t>Rebuild the past (part 2)</t>
        </is>
      </c>
      <c r="D14" s="59" t="inlineStr">
        <is>
          <t>Tool</t>
        </is>
      </c>
      <c r="E14" s="59" t="inlineStr">
        <is>
          <t>List every client on the Clients sheet and every unpaid invoice on the Invoices sheet.</t>
        </is>
      </c>
      <c r="F14" s="59" t="inlineStr">
        <is>
          <t>You know exactly who owes you money and how much.</t>
        </is>
      </c>
      <c r="G14" s="13" t="inlineStr">
        <is>
          <t>Not started</t>
        </is>
      </c>
    </row>
    <row r="15">
      <c r="A15" s="59" t="inlineStr">
        <is>
          <t>Week 2</t>
        </is>
      </c>
      <c r="B15" s="59" t="inlineStr">
        <is>
          <t>12–18 Oct</t>
        </is>
      </c>
      <c r="C15" s="59" t="inlineStr">
        <is>
          <t>Rebuild the past (part 2)</t>
        </is>
      </c>
      <c r="D15" s="59" t="inlineStr">
        <is>
          <t>People</t>
        </is>
      </c>
      <c r="E15" s="59" t="inlineStr">
        <is>
          <t>Shortlist 3 accountants (CA Sri Lanka or AAT Sri Lanka members, or a tax practitioner) and book short meetings.</t>
        </is>
      </c>
      <c r="F15" s="59" t="inlineStr">
        <is>
          <t>Meetings booked.</t>
        </is>
      </c>
      <c r="G15" s="13" t="inlineStr">
        <is>
          <t>Not started</t>
        </is>
      </c>
    </row>
    <row r="16">
      <c r="A16" s="59" t="inlineStr">
        <is>
          <t>Week 3</t>
        </is>
      </c>
      <c r="B16" s="59" t="inlineStr">
        <is>
          <t>19–25 Oct</t>
        </is>
      </c>
      <c r="C16" s="59" t="inlineStr">
        <is>
          <t>Tax and legal health check</t>
        </is>
      </c>
      <c r="D16" s="59" t="inlineStr">
        <is>
          <t>Legal</t>
        </is>
      </c>
      <c r="E16" s="59" t="inlineStr">
        <is>
          <t>Get a TIN from the IRD e-Services portal if you don't already have one. It becomes compulsory for key transactions from 1 November 2026.</t>
        </is>
      </c>
      <c r="F16" s="59" t="inlineStr">
        <is>
          <t>TIN certificate saved.</t>
        </is>
      </c>
      <c r="G16" s="13" t="inlineStr">
        <is>
          <t>Not started</t>
        </is>
      </c>
    </row>
    <row r="17">
      <c r="A17" s="59" t="inlineStr">
        <is>
          <t>Week 3</t>
        </is>
      </c>
      <c r="B17" s="59" t="inlineStr">
        <is>
          <t>19–25 Oct</t>
        </is>
      </c>
      <c r="C17" s="59" t="inlineStr">
        <is>
          <t>Tax and legal health check</t>
        </is>
      </c>
      <c r="D17" s="59" t="inlineStr">
        <is>
          <t>Legal</t>
        </is>
      </c>
      <c r="E17" s="59" t="inlineStr">
        <is>
          <t>Check your business registration: sole proprietor or partnership (Divisional Secretariat) or company (Registrar of Companies, eROC).</t>
        </is>
      </c>
      <c r="F17" s="59" t="inlineStr">
        <is>
          <t>You have the registration certificate, or know what to register.</t>
        </is>
      </c>
      <c r="G17" s="13" t="inlineStr">
        <is>
          <t>Not started</t>
        </is>
      </c>
    </row>
    <row r="18">
      <c r="A18" s="59" t="inlineStr">
        <is>
          <t>Week 3</t>
        </is>
      </c>
      <c r="B18" s="59" t="inlineStr">
        <is>
          <t>19–25 Oct</t>
        </is>
      </c>
      <c r="C18" s="59" t="inlineStr">
        <is>
          <t>Tax and legal health check</t>
        </is>
      </c>
      <c r="D18" s="59" t="inlineStr">
        <is>
          <t>People</t>
        </is>
      </c>
      <c r="E18" s="59" t="inlineStr">
        <is>
          <t>Hire an accountant. Ask about the 2025/26 return (due 30 Nov), the 15 Nov instalment, WHT certificates, VAT and SSCL.</t>
        </is>
      </c>
      <c r="F18" s="59" t="inlineStr">
        <is>
          <t>Accountant engaged; tax deadlines confirmed in writing.</t>
        </is>
      </c>
      <c r="G18" s="13" t="inlineStr">
        <is>
          <t>Not started</t>
        </is>
      </c>
    </row>
    <row r="19">
      <c r="A19" s="59" t="inlineStr">
        <is>
          <t>Week 3</t>
        </is>
      </c>
      <c r="B19" s="59" t="inlineStr">
        <is>
          <t>19–25 Oct</t>
        </is>
      </c>
      <c r="C19" s="59" t="inlineStr">
        <is>
          <t>Tax and legal health check</t>
        </is>
      </c>
      <c r="D19" s="59" t="inlineStr">
        <is>
          <t>Money</t>
        </is>
      </c>
      <c r="E19" s="59" t="inlineStr">
        <is>
          <t>Start the 10-minute daily routine (enter yesterday's transactions, file receipts).</t>
        </is>
      </c>
      <c r="F19" s="59" t="inlineStr">
        <is>
          <t>Done at least 5 days this week.</t>
        </is>
      </c>
      <c r="G19" s="13" t="inlineStr">
        <is>
          <t>Not started</t>
        </is>
      </c>
    </row>
    <row r="20">
      <c r="A20" s="59" t="inlineStr">
        <is>
          <t>Week 4</t>
        </is>
      </c>
      <c r="B20" s="59" t="inlineStr">
        <is>
          <t>26 Oct–1 Nov</t>
        </is>
      </c>
      <c r="C20" s="59" t="inlineStr">
        <is>
          <t>First month-end close</t>
        </is>
      </c>
      <c r="D20" s="59" t="inlineStr">
        <is>
          <t>Tool</t>
        </is>
      </c>
      <c r="E20" s="59" t="inlineStr">
        <is>
          <t>Close October: enter everything, match the bank, update invoice payments.</t>
        </is>
      </c>
      <c r="F20" s="59" t="inlineStr">
        <is>
          <t>October closing cash on the Cash Flow sheet matches the bank to the rupee.</t>
        </is>
      </c>
      <c r="G20" s="13" t="inlineStr">
        <is>
          <t>Not started</t>
        </is>
      </c>
    </row>
    <row r="21">
      <c r="A21" s="59" t="inlineStr">
        <is>
          <t>Week 4</t>
        </is>
      </c>
      <c r="B21" s="59" t="inlineStr">
        <is>
          <t>26 Oct–1 Nov</t>
        </is>
      </c>
      <c r="C21" s="59" t="inlineStr">
        <is>
          <t>First month-end close</t>
        </is>
      </c>
      <c r="D21" s="59" t="inlineStr">
        <is>
          <t>Learn</t>
        </is>
      </c>
      <c r="E21" s="59" t="inlineStr">
        <is>
          <t>Read the Monthly P&amp;L for April–October and write down 5 things you notice.</t>
        </is>
      </c>
      <c r="F21" s="59" t="inlineStr">
        <is>
          <t>5 observations written (best month, biggest cost, margin trend…).</t>
        </is>
      </c>
      <c r="G21" s="13" t="inlineStr">
        <is>
          <t>Not started</t>
        </is>
      </c>
    </row>
    <row r="22">
      <c r="A22" s="59" t="inlineStr">
        <is>
          <t>Week 4</t>
        </is>
      </c>
      <c r="B22" s="59" t="inlineStr">
        <is>
          <t>26 Oct–1 Nov</t>
        </is>
      </c>
      <c r="C22" s="59" t="inlineStr">
        <is>
          <t>First month-end close</t>
        </is>
      </c>
      <c r="D22" s="59" t="inlineStr">
        <is>
          <t>Money</t>
        </is>
      </c>
      <c r="E22" s="59" t="inlineStr">
        <is>
          <t>Set a fixed monthly owner salary and a tax reserve %. Open a separate savings account for tax.</t>
        </is>
      </c>
      <c r="F22" s="59" t="inlineStr">
        <is>
          <t>Owner pay and tax % entered on Setup; first transfer to tax savings made.</t>
        </is>
      </c>
      <c r="G22" s="13" t="inlineStr">
        <is>
          <t>Not started</t>
        </is>
      </c>
    </row>
    <row r="23">
      <c r="A23" s="59" t="inlineStr">
        <is>
          <t>Week 5</t>
        </is>
      </c>
      <c r="B23" s="59" t="inlineStr">
        <is>
          <t>2–8 Nov</t>
        </is>
      </c>
      <c r="C23" s="59" t="inlineStr">
        <is>
          <t>Know your services</t>
        </is>
      </c>
      <c r="D23" s="59" t="inlineStr">
        <is>
          <t>Tool</t>
        </is>
      </c>
      <c r="E23" s="59" t="inlineStr">
        <is>
          <t>Fill in the Service Pricing sheet for every service you sell.</t>
        </is>
      </c>
      <c r="F23" s="59" t="inlineStr">
        <is>
          <t>You know the real profit and effective hourly rate of each service.</t>
        </is>
      </c>
      <c r="G23" s="13" t="inlineStr">
        <is>
          <t>Not started</t>
        </is>
      </c>
    </row>
    <row r="24">
      <c r="A24" s="59" t="inlineStr">
        <is>
          <t>Week 5</t>
        </is>
      </c>
      <c r="B24" s="59" t="inlineStr">
        <is>
          <t>2–8 Nov</t>
        </is>
      </c>
      <c r="C24" s="59" t="inlineStr">
        <is>
          <t>Know your services</t>
        </is>
      </c>
      <c r="D24" s="59" t="inlineStr">
        <is>
          <t>Strategy</t>
        </is>
      </c>
      <c r="E24" s="59" t="inlineStr">
        <is>
          <t>Check client concentration: what % of revenue comes from your biggest client and your top 3?</t>
        </is>
      </c>
      <c r="F24" s="59" t="inlineStr">
        <is>
          <t>Risk written down; if one client is above 30%, you have a plan to win more.</t>
        </is>
      </c>
      <c r="G24" s="13" t="inlineStr">
        <is>
          <t>Not started</t>
        </is>
      </c>
    </row>
    <row r="25">
      <c r="A25" s="59" t="inlineStr">
        <is>
          <t>Week 5</t>
        </is>
      </c>
      <c r="B25" s="59" t="inlineStr">
        <is>
          <t>2–8 Nov</t>
        </is>
      </c>
      <c r="C25" s="59" t="inlineStr">
        <is>
          <t>Know your services</t>
        </is>
      </c>
      <c r="D25" s="59" t="inlineStr">
        <is>
          <t>Learn</t>
        </is>
      </c>
      <c r="E25" s="59" t="inlineStr">
        <is>
          <t>Read Part 4: pricing and unit economics.</t>
        </is>
      </c>
      <c r="F25" s="59" t="inlineStr">
        <is>
          <t>You can say which service to push and which to fix or drop.</t>
        </is>
      </c>
      <c r="G25" s="13" t="inlineStr">
        <is>
          <t>Not started</t>
        </is>
      </c>
    </row>
    <row r="26">
      <c r="A26" s="59" t="inlineStr">
        <is>
          <t>Week 6</t>
        </is>
      </c>
      <c r="B26" s="59" t="inlineStr">
        <is>
          <t>9–15 Nov</t>
        </is>
      </c>
      <c r="C26" s="59" t="inlineStr">
        <is>
          <t>Know your customers</t>
        </is>
      </c>
      <c r="D26" s="59" t="inlineStr">
        <is>
          <t>Customers</t>
        </is>
      </c>
      <c r="E26" s="59" t="inlineStr">
        <is>
          <t>Interview your 5 best clients using the questions in Part 5.</t>
        </is>
      </c>
      <c r="F26" s="59" t="inlineStr">
        <is>
          <t>Notes from 5 conversations, with their exact words.</t>
        </is>
      </c>
      <c r="G26" s="13" t="inlineStr">
        <is>
          <t>Not started</t>
        </is>
      </c>
    </row>
    <row r="27">
      <c r="A27" s="59" t="inlineStr">
        <is>
          <t>Week 6</t>
        </is>
      </c>
      <c r="B27" s="59" t="inlineStr">
        <is>
          <t>9–15 Nov</t>
        </is>
      </c>
      <c r="C27" s="59" t="inlineStr">
        <is>
          <t>Know your customers</t>
        </is>
      </c>
      <c r="D27" s="59" t="inlineStr">
        <is>
          <t>Strategy</t>
        </is>
      </c>
      <c r="E27" s="59" t="inlineStr">
        <is>
          <t>Write your Ideal Client Profile (who they are, what problem they have, why they choose you).</t>
        </is>
      </c>
      <c r="F27" s="59" t="inlineStr">
        <is>
          <t>One paragraph you could give to a salesperson.</t>
        </is>
      </c>
      <c r="G27" s="13" t="inlineStr">
        <is>
          <t>Not started</t>
        </is>
      </c>
    </row>
    <row r="28">
      <c r="A28" s="59" t="inlineStr">
        <is>
          <t>Week 6</t>
        </is>
      </c>
      <c r="B28" s="59" t="inlineStr">
        <is>
          <t>9–15 Nov</t>
        </is>
      </c>
      <c r="C28" s="59" t="inlineStr">
        <is>
          <t>Know your customers</t>
        </is>
      </c>
      <c r="D28" s="59" t="inlineStr">
        <is>
          <t>Legal</t>
        </is>
      </c>
      <c r="E28" s="59" t="inlineStr">
        <is>
          <t>Pay the 2nd income tax instalment for 2026/27 by 15 November (with your accountant).</t>
        </is>
      </c>
      <c r="F28" s="59" t="inlineStr">
        <is>
          <t>Payment made and receipt saved; recorded as Income Tax Paid.</t>
        </is>
      </c>
      <c r="G28" s="13" t="inlineStr">
        <is>
          <t>Not started</t>
        </is>
      </c>
    </row>
    <row r="29">
      <c r="A29" s="59" t="inlineStr">
        <is>
          <t>Week 7</t>
        </is>
      </c>
      <c r="B29" s="59" t="inlineStr">
        <is>
          <t>16–22 Nov</t>
        </is>
      </c>
      <c r="C29" s="59" t="inlineStr">
        <is>
          <t>The business plan</t>
        </is>
      </c>
      <c r="D29" s="59" t="inlineStr">
        <is>
          <t>Strategy</t>
        </is>
      </c>
      <c r="E29" s="59" t="inlineStr">
        <is>
          <t>Write the One-Page Business Plan (Part 5 template).</t>
        </is>
      </c>
      <c r="F29" s="59" t="inlineStr">
        <is>
          <t>One page, finished, read aloud to a partner or friend.</t>
        </is>
      </c>
      <c r="G29" s="13" t="inlineStr">
        <is>
          <t>Not started</t>
        </is>
      </c>
    </row>
    <row r="30">
      <c r="A30" s="59" t="inlineStr">
        <is>
          <t>Week 7</t>
        </is>
      </c>
      <c r="B30" s="59" t="inlineStr">
        <is>
          <t>16–22 Nov</t>
        </is>
      </c>
      <c r="C30" s="59" t="inlineStr">
        <is>
          <t>The business plan</t>
        </is>
      </c>
      <c r="D30" s="59" t="inlineStr">
        <is>
          <t>Strategy</t>
        </is>
      </c>
      <c r="E30" s="59" t="inlineStr">
        <is>
          <t>Set 3 measurable goals for January–March 2027.</t>
        </is>
      </c>
      <c r="F30" s="59" t="inlineStr">
        <is>
          <t>Each goal has a number and a date.</t>
        </is>
      </c>
      <c r="G30" s="13" t="inlineStr">
        <is>
          <t>Not started</t>
        </is>
      </c>
    </row>
    <row r="31">
      <c r="A31" s="59" t="inlineStr">
        <is>
          <t>Week 8</t>
        </is>
      </c>
      <c r="B31" s="59" t="inlineStr">
        <is>
          <t>23–29 Nov</t>
        </is>
      </c>
      <c r="C31" s="59" t="inlineStr">
        <is>
          <t>Forecast and budget</t>
        </is>
      </c>
      <c r="D31" s="59" t="inlineStr">
        <is>
          <t>Tool</t>
        </is>
      </c>
      <c r="E31" s="59" t="inlineStr">
        <is>
          <t>Fill in the Forecast sheet for October 2026–March 2027 and set a monthly budget for fixed costs.</t>
        </is>
      </c>
      <c r="F31" s="59" t="inlineStr">
        <is>
          <t>Forecast done; October actual vs forecast reviewed.</t>
        </is>
      </c>
      <c r="G31" s="13" t="inlineStr">
        <is>
          <t>Not started</t>
        </is>
      </c>
    </row>
    <row r="32">
      <c r="A32" s="59" t="inlineStr">
        <is>
          <t>Week 8</t>
        </is>
      </c>
      <c r="B32" s="59" t="inlineStr">
        <is>
          <t>23–29 Nov</t>
        </is>
      </c>
      <c r="C32" s="59" t="inlineStr">
        <is>
          <t>Forecast and budget</t>
        </is>
      </c>
      <c r="D32" s="59" t="inlineStr">
        <is>
          <t>Legal</t>
        </is>
      </c>
      <c r="E32" s="59" t="inlineStr">
        <is>
          <t>Make sure the 2025/26 income tax return is filed by 30 November.</t>
        </is>
      </c>
      <c r="F32" s="59" t="inlineStr">
        <is>
          <t>Filing confirmation saved.</t>
        </is>
      </c>
      <c r="G32" s="13" t="inlineStr">
        <is>
          <t>Not started</t>
        </is>
      </c>
    </row>
    <row r="33">
      <c r="A33" s="59" t="inlineStr">
        <is>
          <t>Week 8</t>
        </is>
      </c>
      <c r="B33" s="59" t="inlineStr">
        <is>
          <t>23–29 Nov</t>
        </is>
      </c>
      <c r="C33" s="59" t="inlineStr">
        <is>
          <t>Forecast and budget</t>
        </is>
      </c>
      <c r="D33" s="59" t="inlineStr">
        <is>
          <t>Tool</t>
        </is>
      </c>
      <c r="E33" s="59" t="inlineStr">
        <is>
          <t>Close November books.</t>
        </is>
      </c>
      <c r="F33" s="59" t="inlineStr">
        <is>
          <t>November cash matches the bank; P&amp;L reviewed.</t>
        </is>
      </c>
      <c r="G33" s="13" t="inlineStr">
        <is>
          <t>Not started</t>
        </is>
      </c>
    </row>
    <row r="34">
      <c r="A34" s="59" t="inlineStr">
        <is>
          <t>Week 9</t>
        </is>
      </c>
      <c r="B34" s="59" t="inlineStr">
        <is>
          <t>30 Nov–6 Dec</t>
        </is>
      </c>
      <c r="C34" s="59" t="inlineStr">
        <is>
          <t>Brand and positioning</t>
        </is>
      </c>
      <c r="D34" s="59" t="inlineStr">
        <is>
          <t>Marketing</t>
        </is>
      </c>
      <c r="E34" s="59" t="inlineStr">
        <is>
          <t>Write your positioning statement and one-line pitch (Part 6 template).</t>
        </is>
      </c>
      <c r="F34" s="59" t="inlineStr">
        <is>
          <t>You can say what you do, for whom, and why you're different in one sentence.</t>
        </is>
      </c>
      <c r="G34" s="13" t="inlineStr">
        <is>
          <t>Not started</t>
        </is>
      </c>
    </row>
    <row r="35">
      <c r="A35" s="59" t="inlineStr">
        <is>
          <t>Week 9</t>
        </is>
      </c>
      <c r="B35" s="59" t="inlineStr">
        <is>
          <t>30 Nov–6 Dec</t>
        </is>
      </c>
      <c r="C35" s="59" t="inlineStr">
        <is>
          <t>Brand and positioning</t>
        </is>
      </c>
      <c r="D35" s="59" t="inlineStr">
        <is>
          <t>Marketing</t>
        </is>
      </c>
      <c r="E35" s="59" t="inlineStr">
        <is>
          <t>Fix the brand basics: consistent name and logo, Google Business Profile, LinkedIn/Facebook page, WhatsApp Business profile.</t>
        </is>
      </c>
      <c r="F35" s="59" t="inlineStr">
        <is>
          <t>All profiles match and show how to contact you.</t>
        </is>
      </c>
      <c r="G35" s="13" t="inlineStr">
        <is>
          <t>Not started</t>
        </is>
      </c>
    </row>
    <row r="36">
      <c r="A36" s="59" t="inlineStr">
        <is>
          <t>Week 10</t>
        </is>
      </c>
      <c r="B36" s="59" t="inlineStr">
        <is>
          <t>7–13 Dec</t>
        </is>
      </c>
      <c r="C36" s="59" t="inlineStr">
        <is>
          <t>Marketing and sales system</t>
        </is>
      </c>
      <c r="D36" s="59" t="inlineStr">
        <is>
          <t>Marketing</t>
        </is>
      </c>
      <c r="E36" s="59" t="inlineStr">
        <is>
          <t>Choose 1–2 marketing channels and plan 4 weeks of activity.</t>
        </is>
      </c>
      <c r="F36" s="59" t="inlineStr">
        <is>
          <t>A dated content or outreach plan for January.</t>
        </is>
      </c>
      <c r="G36" s="13" t="inlineStr">
        <is>
          <t>Not started</t>
        </is>
      </c>
    </row>
    <row r="37">
      <c r="A37" s="59" t="inlineStr">
        <is>
          <t>Week 10</t>
        </is>
      </c>
      <c r="B37" s="59" t="inlineStr">
        <is>
          <t>7–13 Dec</t>
        </is>
      </c>
      <c r="C37" s="59" t="inlineStr">
        <is>
          <t>Marketing and sales system</t>
        </is>
      </c>
      <c r="D37" s="59" t="inlineStr">
        <is>
          <t>Sales</t>
        </is>
      </c>
      <c r="E37" s="59" t="inlineStr">
        <is>
          <t>Start the Sales Pipeline sheet: every enquiry and lead goes in it.</t>
        </is>
      </c>
      <c r="F37" s="59" t="inlineStr">
        <is>
          <t>All current leads entered with a next action and date.</t>
        </is>
      </c>
      <c r="G37" s="13" t="inlineStr">
        <is>
          <t>Not started</t>
        </is>
      </c>
    </row>
    <row r="38">
      <c r="A38" s="59" t="inlineStr">
        <is>
          <t>Week 10</t>
        </is>
      </c>
      <c r="B38" s="59" t="inlineStr">
        <is>
          <t>7–13 Dec</t>
        </is>
      </c>
      <c r="C38" s="59" t="inlineStr">
        <is>
          <t>Marketing and sales system</t>
        </is>
      </c>
      <c r="D38" s="59" t="inlineStr">
        <is>
          <t>Sales</t>
        </is>
      </c>
      <c r="E38" s="59" t="inlineStr">
        <is>
          <t>Ask your 5 happiest clients for a referral or testimonial.</t>
        </is>
      </c>
      <c r="F38" s="59" t="inlineStr">
        <is>
          <t>At least 2 testimonials or referrals received.</t>
        </is>
      </c>
      <c r="G38" s="13" t="inlineStr">
        <is>
          <t>Not started</t>
        </is>
      </c>
    </row>
    <row r="39">
      <c r="A39" s="59" t="inlineStr">
        <is>
          <t>Week 11</t>
        </is>
      </c>
      <c r="B39" s="59" t="inlineStr">
        <is>
          <t>14–20 Dec</t>
        </is>
      </c>
      <c r="C39" s="59" t="inlineStr">
        <is>
          <t>Operations and your team</t>
        </is>
      </c>
      <c r="D39" s="59" t="inlineStr">
        <is>
          <t>Operations</t>
        </is>
      </c>
      <c r="E39" s="59" t="inlineStr">
        <is>
          <t>Write SOPs (step-by-step checklists) for the 3 tasks you repeat most.</t>
        </is>
      </c>
      <c r="F39" s="59" t="inlineStr">
        <is>
          <t>3 SOPs that someone else could follow.</t>
        </is>
      </c>
      <c r="G39" s="13" t="inlineStr">
        <is>
          <t>Not started</t>
        </is>
      </c>
    </row>
    <row r="40">
      <c r="A40" s="59" t="inlineStr">
        <is>
          <t>Week 11</t>
        </is>
      </c>
      <c r="B40" s="59" t="inlineStr">
        <is>
          <t>14–20 Dec</t>
        </is>
      </c>
      <c r="C40" s="59" t="inlineStr">
        <is>
          <t>Operations and your team</t>
        </is>
      </c>
      <c r="D40" s="59" t="inlineStr">
        <is>
          <t>People</t>
        </is>
      </c>
      <c r="E40" s="59" t="inlineStr">
        <is>
          <t>Draw the org chart: every role, who does it now, and what to hire or outsource next.</t>
        </is>
      </c>
      <c r="F40" s="59" t="inlineStr">
        <is>
          <t>Hiring/outsourcing list with priorities and budget.</t>
        </is>
      </c>
      <c r="G40" s="13" t="inlineStr">
        <is>
          <t>Not started</t>
        </is>
      </c>
    </row>
    <row r="41">
      <c r="A41" s="59" t="inlineStr">
        <is>
          <t>Week 12</t>
        </is>
      </c>
      <c r="B41" s="59" t="inlineStr">
        <is>
          <t>21–27 Dec</t>
        </is>
      </c>
      <c r="C41" s="59" t="inlineStr">
        <is>
          <t>Rhythm and dashboard</t>
        </is>
      </c>
      <c r="D41" s="59" t="inlineStr">
        <is>
          <t>Operations</t>
        </is>
      </c>
      <c r="E41" s="59" t="inlineStr">
        <is>
          <t>Fix your management rhythm: daily 10 minutes, weekly 30-minute review, monthly close, quarterly plan. Put them in your calendar.</t>
        </is>
      </c>
      <c r="F41" s="59" t="inlineStr">
        <is>
          <t>Recurring calendar events created.</t>
        </is>
      </c>
      <c r="G41" s="13" t="inlineStr">
        <is>
          <t>Not started</t>
        </is>
      </c>
    </row>
    <row r="42">
      <c r="A42" s="59" t="inlineStr">
        <is>
          <t>Week 12</t>
        </is>
      </c>
      <c r="B42" s="59" t="inlineStr">
        <is>
          <t>21–27 Dec</t>
        </is>
      </c>
      <c r="C42" s="59" t="inlineStr">
        <is>
          <t>Rhythm and dashboard</t>
        </is>
      </c>
      <c r="D42" s="59" t="inlineStr">
        <is>
          <t>Tool</t>
        </is>
      </c>
      <c r="E42" s="59" t="inlineStr">
        <is>
          <t>Review the Dashboard: revenue, margins, cash, overdue invoices, runway.</t>
        </is>
      </c>
      <c r="F42" s="59" t="inlineStr">
        <is>
          <t>You can explain every number on it.</t>
        </is>
      </c>
      <c r="G42" s="13" t="inlineStr">
        <is>
          <t>Not started</t>
        </is>
      </c>
    </row>
    <row r="43">
      <c r="A43" s="59" t="inlineStr">
        <is>
          <t>Week 13</t>
        </is>
      </c>
      <c r="B43" s="59" t="inlineStr">
        <is>
          <t>28–31 Dec</t>
        </is>
      </c>
      <c r="C43" s="59" t="inlineStr">
        <is>
          <t>Quarter close and Q1 2027 plan</t>
        </is>
      </c>
      <c r="D43" s="59" t="inlineStr">
        <is>
          <t>Tool</t>
        </is>
      </c>
      <c r="E43" s="59" t="inlineStr">
        <is>
          <t>Close December and review the full quarter (October–December).</t>
        </is>
      </c>
      <c r="F43" s="59" t="inlineStr">
        <is>
          <t>Quarter review written: what worked, what didn't, numbers vs forecast.</t>
        </is>
      </c>
      <c r="G43" s="13" t="inlineStr">
        <is>
          <t>Not started</t>
        </is>
      </c>
    </row>
    <row r="44">
      <c r="A44" s="59" t="inlineStr">
        <is>
          <t>Week 13</t>
        </is>
      </c>
      <c r="B44" s="59" t="inlineStr">
        <is>
          <t>28–31 Dec</t>
        </is>
      </c>
      <c r="C44" s="59" t="inlineStr">
        <is>
          <t>Quarter close and Q1 2027 plan</t>
        </is>
      </c>
      <c r="D44" s="59" t="inlineStr">
        <is>
          <t>Strategy</t>
        </is>
      </c>
      <c r="E44" s="59" t="inlineStr">
        <is>
          <t>Write the Q1 2027 plan: 3 priorities, goals, budget, who does what.</t>
        </is>
      </c>
      <c r="F44" s="59" t="inlineStr">
        <is>
          <t>Plan agreed with partners/team.</t>
        </is>
      </c>
      <c r="G44" s="13" t="inlineStr">
        <is>
          <t>Not started</t>
        </is>
      </c>
    </row>
    <row r="45">
      <c r="A45" s="59" t="inlineStr">
        <is>
          <t>Week 13</t>
        </is>
      </c>
      <c r="B45" s="59" t="inlineStr">
        <is>
          <t>28–31 Dec</t>
        </is>
      </c>
      <c r="C45" s="59" t="inlineStr">
        <is>
          <t>Quarter close and Q1 2027 plan</t>
        </is>
      </c>
      <c r="D45" s="59" t="inlineStr">
        <is>
          <t>Legal</t>
        </is>
      </c>
      <c r="E45" s="59" t="inlineStr">
        <is>
          <t>Estimate the 3rd tax instalment (due 15 Feb 2027) with your accountant.</t>
        </is>
      </c>
      <c r="F45" s="59" t="inlineStr">
        <is>
          <t>Amount known and saved in the tax account.</t>
        </is>
      </c>
      <c r="G45" s="13" t="inlineStr">
        <is>
          <t>Not started</t>
        </is>
      </c>
    </row>
  </sheetData>
  <conditionalFormatting sqref="G6:G45">
    <cfRule type="cellIs" priority="1" operator="equal" dxfId="5">
      <formula>"Done"</formula>
    </cfRule>
    <cfRule type="cellIs" priority="2" operator="equal" dxfId="6">
      <formula>"In progress"</formula>
    </cfRule>
  </conditionalFormatting>
  <dataValidations count="1">
    <dataValidation sqref="G6:G45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F9000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58" customWidth="1" min="4" max="4"/>
    <col width="14" customWidth="1" min="5" max="5"/>
  </cols>
  <sheetData>
    <row r="1">
      <c r="A1" s="11" t="inlineStr">
        <is>
          <t>Tax &amp; Compliance Calendar (Sri Lanka)</t>
        </is>
      </c>
      <c r="B1" s="1" t="n"/>
      <c r="C1" s="1" t="n"/>
      <c r="D1" s="1" t="n"/>
      <c r="E1" s="1" t="n"/>
    </row>
    <row r="2">
      <c r="A2" s="3" t="inlineStr">
        <is>
          <t>Researched October 2026 from IRD notices and tax-firm summaries. Rules change often: confirm every item with your accountant.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 ht="30" customHeight="1">
      <c r="A4" s="18" t="inlineStr">
        <is>
          <t>Date</t>
        </is>
      </c>
      <c r="B4" s="18" t="inlineStr">
        <is>
          <t>What</t>
        </is>
      </c>
      <c r="C4" s="18" t="inlineStr">
        <is>
          <t>Who it applies to</t>
        </is>
      </c>
      <c r="D4" s="18" t="inlineStr">
        <is>
          <t>What to do</t>
        </is>
      </c>
      <c r="E4" s="18" t="inlineStr">
        <is>
          <t>Status</t>
        </is>
      </c>
    </row>
    <row r="5">
      <c r="A5" s="60" t="inlineStr">
        <is>
          <t>Before 1 Nov 2026</t>
        </is>
      </c>
      <c r="B5" s="59" t="inlineStr">
        <is>
          <t>TIN certificate compulsory for key transactions</t>
        </is>
      </c>
      <c r="C5" s="59" t="inlineStr">
        <is>
          <t>Every individual 18+ and every business</t>
        </is>
      </c>
      <c r="D5" s="59" t="inlineStr">
        <is>
          <t>Get your TIN on the IRD e-Services portal. Needed from 1 Nov 2026 to open bank accounts, register a business, vehicles, land, get credit cards.</t>
        </is>
      </c>
      <c r="E5" s="13" t="inlineStr">
        <is>
          <t>To check</t>
        </is>
      </c>
    </row>
    <row r="6">
      <c r="A6" s="60" t="inlineStr">
        <is>
          <t>15 Nov 2026</t>
        </is>
      </c>
      <c r="B6" s="59" t="inlineStr">
        <is>
          <t>2nd quarterly income tax instalment, Y/A 2026/27 (Jul–Sep)</t>
        </is>
      </c>
      <c r="C6" s="59" t="inlineStr">
        <is>
          <t>Anyone with taxable business income</t>
        </is>
      </c>
      <c r="D6" s="59" t="inlineStr">
        <is>
          <t>Accountant estimates the amount; pay and record it as "Income tax paid".</t>
        </is>
      </c>
      <c r="E6" s="13" t="inlineStr">
        <is>
          <t>To check</t>
        </is>
      </c>
    </row>
    <row r="7">
      <c r="A7" s="60" t="inlineStr">
        <is>
          <t>30 Nov 2026</t>
        </is>
      </c>
      <c r="B7" s="59" t="inlineStr">
        <is>
          <t>Income tax return for Y/A 2025/26 (1 Apr 2025 – 31 Mar 2026)</t>
        </is>
      </c>
      <c r="C7" s="59" t="inlineStr">
        <is>
          <t>Individuals, partnerships, companies with taxable income</t>
        </is>
      </c>
      <c r="D7" s="59" t="inlineStr">
        <is>
          <t>File the return (usually via your accountant). Any balance tax was due by 30 Sep 2026: if unpaid, settle it now.</t>
        </is>
      </c>
      <c r="E7" s="13" t="inlineStr">
        <is>
          <t>To check</t>
        </is>
      </c>
    </row>
    <row r="8">
      <c r="A8" s="60" t="inlineStr">
        <is>
          <t>31 Dec 2026</t>
        </is>
      </c>
      <c r="B8" s="59" t="inlineStr">
        <is>
          <t>Quarter end (Oct–Dec)</t>
        </is>
      </c>
      <c r="C8" s="59" t="inlineStr">
        <is>
          <t>Your business</t>
        </is>
      </c>
      <c r="D8" s="59" t="inlineStr">
        <is>
          <t>Close the books for the quarter; review Dashboard.</t>
        </is>
      </c>
      <c r="E8" s="13" t="inlineStr">
        <is>
          <t>To check</t>
        </is>
      </c>
    </row>
    <row r="9">
      <c r="A9" s="60" t="inlineStr">
        <is>
          <t>15 Feb 2027</t>
        </is>
      </c>
      <c r="B9" s="59" t="inlineStr">
        <is>
          <t>3rd quarterly instalment, Y/A 2026/27 (Oct–Dec)</t>
        </is>
      </c>
      <c r="C9" s="59" t="inlineStr">
        <is>
          <t>Anyone with taxable business income</t>
        </is>
      </c>
      <c r="D9" s="59" t="inlineStr">
        <is>
          <t>Pay the estimate.</t>
        </is>
      </c>
      <c r="E9" s="13" t="inlineStr">
        <is>
          <t>To check</t>
        </is>
      </c>
    </row>
    <row r="10">
      <c r="A10" s="60" t="inlineStr">
        <is>
          <t>31 Mar 2027</t>
        </is>
      </c>
      <c r="B10" s="59" t="inlineStr">
        <is>
          <t>Financial / tax year ends</t>
        </is>
      </c>
      <c r="C10" s="59" t="inlineStr">
        <is>
          <t>Everyone</t>
        </is>
      </c>
      <c r="D10" s="59" t="inlineStr">
        <is>
          <t>Year-end close. Count assets, list unpaid invoices and bills.</t>
        </is>
      </c>
      <c r="E10" s="13" t="inlineStr">
        <is>
          <t>To check</t>
        </is>
      </c>
    </row>
    <row r="11">
      <c r="A11" s="60" t="inlineStr">
        <is>
          <t>15 May 2027</t>
        </is>
      </c>
      <c r="B11" s="59" t="inlineStr">
        <is>
          <t>4th quarterly instalment, Y/A 2026/27 (Jan–Mar)</t>
        </is>
      </c>
      <c r="C11" s="59" t="inlineStr">
        <is>
          <t>Anyone with taxable business income</t>
        </is>
      </c>
      <c r="D11" s="59" t="inlineStr">
        <is>
          <t>Pay the estimate.</t>
        </is>
      </c>
      <c r="E11" s="13" t="inlineStr">
        <is>
          <t>To check</t>
        </is>
      </c>
    </row>
    <row r="12">
      <c r="A12" s="60" t="inlineStr">
        <is>
          <t>Monthly</t>
        </is>
      </c>
      <c r="B12" s="59" t="inlineStr">
        <is>
          <t>If you employ staff: EPF (8% employee + 12% employer) and ETF (3% employer)</t>
        </is>
      </c>
      <c r="C12" s="59" t="inlineStr">
        <is>
          <t>Employers</t>
        </is>
      </c>
      <c r="D12" s="59" t="inlineStr">
        <is>
          <t>Register with the Labour Department (EPF) and ETF Board; pay monthly. Confirm due dates with your accountant.</t>
        </is>
      </c>
      <c r="E12" s="13" t="inlineStr">
        <is>
          <t>To check</t>
        </is>
      </c>
    </row>
    <row r="13">
      <c r="A13" s="60" t="inlineStr">
        <is>
          <t>Ongoing</t>
        </is>
      </c>
      <c r="B13" s="59" t="inlineStr">
        <is>
          <t>Withholding tax (WHT) on your fees</t>
        </is>
      </c>
      <c r="C13" s="59" t="inlineStr">
        <is>
          <t>Individuals earning service fees &gt; Rs 100,000 per month from one payer</t>
        </is>
      </c>
      <c r="D13" s="59" t="inlineStr">
        <is>
          <t>Clients may deduct 5% WHT. Collect every WHT certificate: it is credited against your income tax.</t>
        </is>
      </c>
      <c r="E13" s="13" t="inlineStr">
        <is>
          <t>To check</t>
        </is>
      </c>
    </row>
    <row r="14">
      <c r="A14" s="60" t="inlineStr">
        <is>
          <t>Watch</t>
        </is>
      </c>
      <c r="B14" s="59" t="inlineStr">
        <is>
          <t>VAT registration (18%)</t>
        </is>
      </c>
      <c r="C14" s="59" t="inlineStr">
        <is>
          <t>Turnover above Rs 60 million a year (Rs 15 million a quarter)</t>
        </is>
      </c>
      <c r="D14" s="59" t="inlineStr">
        <is>
          <t>The cut to Rs 36 million was proposed, then dropped in June 2026. Check if you are near the limit.</t>
        </is>
      </c>
      <c r="E14" s="13" t="inlineStr">
        <is>
          <t>To check</t>
        </is>
      </c>
    </row>
    <row r="15">
      <c r="A15" s="60" t="inlineStr">
        <is>
          <t>Watch</t>
        </is>
      </c>
      <c r="B15" s="59" t="inlineStr">
        <is>
          <t>SSCL registration (2.5% levy on turnover)</t>
        </is>
      </c>
      <c r="C15" s="59" t="inlineStr">
        <is>
          <t>From 1 Jul 2026: turnover above Rs 9 million in a quarter or Rs 36 million over 4 quarters</t>
        </is>
      </c>
      <c r="D15" s="59" t="inlineStr">
        <is>
          <t>Check your quarterly revenue on the Monthly P&amp;L against this threshold.</t>
        </is>
      </c>
      <c r="E15" s="13" t="inlineStr">
        <is>
          <t>To check</t>
        </is>
      </c>
    </row>
    <row r="16">
      <c r="A16" s="60" t="inlineStr">
        <is>
          <t>Every payment</t>
        </is>
      </c>
      <c r="B16" s="59" t="inlineStr">
        <is>
          <t>Large cash payments</t>
        </is>
      </c>
      <c r="C16" s="59" t="inlineStr">
        <is>
          <t>Payments of Rs 500,000 or more</t>
        </is>
      </c>
      <c r="D16" s="59" t="inlineStr">
        <is>
          <t>From the 2026 amendment, these are not tax-deductible if paid in cash or through non-approved methods. Pay big bills by bank.</t>
        </is>
      </c>
      <c r="E16" s="13" t="inlineStr">
        <is>
          <t>To check</t>
        </is>
      </c>
    </row>
    <row r="17">
      <c r="A17" s="1" t="n"/>
      <c r="B17" s="1" t="n"/>
      <c r="C17" s="1" t="n"/>
      <c r="D17" s="1" t="n"/>
      <c r="E17" s="1" t="n"/>
    </row>
    <row r="18">
      <c r="A18" s="3" t="inlineStr">
        <is>
          <t>Main sources: IRD notices; KPMG Sri Lanka tax alerts (2025–2026); Inland Revenue (Amendment) Act No. 11 of 2026; VAT (Amendment) Act No. 14 of 2026; IRD Circular SEC/2026/E/04 (WHT). Personal income tax: Rs 1.8m relief, then 6% / 18% / 24% / 30% / 36% slabs (from Y/A 2025/26).</t>
        </is>
      </c>
      <c r="B18" s="1" t="n"/>
      <c r="C18" s="1" t="n"/>
      <c r="D18" s="1" t="n"/>
      <c r="E18" s="1" t="n"/>
    </row>
  </sheetData>
  <dataValidations count="1">
    <dataValidation sqref="E5:E16" showDropDown="0" showInputMessage="0" showErrorMessage="0" allowBlank="1" type="list">
      <formula1>"To check,Not applicable,Done"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2026-10-01T15:46:19Z</dcterms:created>
  <dcterms:modified xmlns:dcterms="http://purl.org/dc/terms/" xmlns:xsi="http://www.w3.org/2001/XMLSchema-instance" xsi:type="dcterms:W3CDTF">2026-10-01T15:46:20Z</dcterms:modified>
</cp:coreProperties>
</file>